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yleh\Desktop\ClassRepo\Challenges\excel-challenge\"/>
    </mc:Choice>
  </mc:AlternateContent>
  <xr:revisionPtr revIDLastSave="0" documentId="13_ncr:1_{EE3BAB2A-274D-4310-B3AE-5DEB133BFE2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rowdfunding" sheetId="1" r:id="rId1"/>
    <sheet name="Parent Catagory Outcomes" sheetId="6" r:id="rId2"/>
    <sheet name="SubCatagory Outcomes" sheetId="7" r:id="rId3"/>
    <sheet name="Creation Date Outcomes" sheetId="8" r:id="rId4"/>
    <sheet name="Bonus" sheetId="5" r:id="rId5"/>
  </sheets>
  <definedNames>
    <definedName name="_xlnm._FilterDatabase" localSheetId="0" hidden="1">Crowdfunding!$A$1:$R$1001</definedName>
  </definedNames>
  <calcPr calcId="191029"/>
  <pivotCaches>
    <pivotCache cacheId="2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01" i="1" l="1" a="1"/>
  <c r="Q1001" i="1" s="1"/>
  <c r="Q1000" i="1" a="1"/>
  <c r="Q1000" i="1" s="1"/>
  <c r="Q999" i="1" a="1"/>
  <c r="Q999" i="1"/>
  <c r="Q998" i="1" a="1"/>
  <c r="Q998" i="1" s="1"/>
  <c r="Q997" i="1" a="1"/>
  <c r="Q997" i="1" s="1"/>
  <c r="Q996" i="1" a="1"/>
  <c r="Q996" i="1" s="1"/>
  <c r="Q995" i="1" a="1"/>
  <c r="Q995" i="1" s="1"/>
  <c r="Q994" i="1" a="1"/>
  <c r="Q994" i="1"/>
  <c r="Q993" i="1" a="1"/>
  <c r="Q993" i="1" s="1"/>
  <c r="Q992" i="1" a="1"/>
  <c r="Q992" i="1" s="1"/>
  <c r="Q991" i="1" a="1"/>
  <c r="Q991" i="1" s="1"/>
  <c r="Q990" i="1" a="1"/>
  <c r="Q990" i="1" s="1"/>
  <c r="Q989" i="1" a="1"/>
  <c r="Q989" i="1" s="1"/>
  <c r="Q988" i="1" a="1"/>
  <c r="Q988" i="1"/>
  <c r="Q987" i="1" a="1"/>
  <c r="Q987" i="1"/>
  <c r="Q986" i="1" a="1"/>
  <c r="Q986" i="1" s="1"/>
  <c r="Q985" i="1" a="1"/>
  <c r="Q985" i="1" s="1"/>
  <c r="Q984" i="1" a="1"/>
  <c r="Q984" i="1"/>
  <c r="Q983" i="1" a="1"/>
  <c r="Q983" i="1" s="1"/>
  <c r="Q982" i="1" a="1"/>
  <c r="Q982" i="1" s="1"/>
  <c r="Q981" i="1" a="1"/>
  <c r="Q981" i="1" s="1"/>
  <c r="Q980" i="1" a="1"/>
  <c r="Q980" i="1" s="1"/>
  <c r="Q979" i="1" a="1"/>
  <c r="Q979" i="1"/>
  <c r="Q978" i="1" a="1"/>
  <c r="Q978" i="1"/>
  <c r="Q977" i="1" a="1"/>
  <c r="Q977" i="1" s="1"/>
  <c r="Q976" i="1" a="1"/>
  <c r="Q976" i="1"/>
  <c r="Q975" i="1" a="1"/>
  <c r="Q975" i="1" s="1"/>
  <c r="Q974" i="1" a="1"/>
  <c r="Q974" i="1" s="1"/>
  <c r="Q973" i="1" a="1"/>
  <c r="Q973" i="1" s="1"/>
  <c r="Q972" i="1" a="1"/>
  <c r="Q972" i="1"/>
  <c r="Q971" i="1" a="1"/>
  <c r="Q971" i="1" s="1"/>
  <c r="Q970" i="1" a="1"/>
  <c r="Q970" i="1"/>
  <c r="Q969" i="1" a="1"/>
  <c r="Q969" i="1" s="1"/>
  <c r="Q968" i="1" a="1"/>
  <c r="Q968" i="1" s="1"/>
  <c r="Q967" i="1" a="1"/>
  <c r="Q967" i="1"/>
  <c r="Q966" i="1" a="1"/>
  <c r="Q966" i="1" s="1"/>
  <c r="Q965" i="1" a="1"/>
  <c r="Q965" i="1" s="1"/>
  <c r="Q964" i="1" a="1"/>
  <c r="Q964" i="1"/>
  <c r="Q963" i="1" a="1"/>
  <c r="Q963" i="1"/>
  <c r="Q962" i="1" a="1"/>
  <c r="Q962" i="1"/>
  <c r="Q961" i="1" a="1"/>
  <c r="Q961" i="1" s="1"/>
  <c r="Q960" i="1" a="1"/>
  <c r="Q960" i="1" s="1"/>
  <c r="Q959" i="1" a="1"/>
  <c r="Q959" i="1" s="1"/>
  <c r="Q958" i="1" a="1"/>
  <c r="Q958" i="1" s="1"/>
  <c r="Q957" i="1" a="1"/>
  <c r="Q957" i="1" s="1"/>
  <c r="Q956" i="1" a="1"/>
  <c r="Q956" i="1"/>
  <c r="Q955" i="1" a="1"/>
  <c r="Q955" i="1" s="1"/>
  <c r="Q954" i="1" a="1"/>
  <c r="Q954" i="1"/>
  <c r="Q953" i="1" a="1"/>
  <c r="Q953" i="1" s="1"/>
  <c r="Q952" i="1" a="1"/>
  <c r="Q952" i="1" s="1"/>
  <c r="Q951" i="1" a="1"/>
  <c r="Q951" i="1" s="1"/>
  <c r="Q950" i="1" a="1"/>
  <c r="Q950" i="1" s="1"/>
  <c r="Q949" i="1" a="1"/>
  <c r="Q949" i="1" s="1"/>
  <c r="Q948" i="1" a="1"/>
  <c r="Q948" i="1"/>
  <c r="Q947" i="1" a="1"/>
  <c r="Q947" i="1"/>
  <c r="Q946" i="1" a="1"/>
  <c r="Q946" i="1"/>
  <c r="Q945" i="1" a="1"/>
  <c r="Q945" i="1" s="1"/>
  <c r="Q944" i="1" a="1"/>
  <c r="Q944" i="1"/>
  <c r="Q943" i="1" a="1"/>
  <c r="Q943" i="1" s="1"/>
  <c r="Q942" i="1" a="1"/>
  <c r="Q942" i="1" s="1"/>
  <c r="Q941" i="1" a="1"/>
  <c r="Q941" i="1" s="1"/>
  <c r="Q940" i="1" a="1"/>
  <c r="Q940" i="1"/>
  <c r="Q939" i="1" a="1"/>
  <c r="Q939" i="1" s="1"/>
  <c r="Q938" i="1" a="1"/>
  <c r="Q938" i="1"/>
  <c r="Q937" i="1" a="1"/>
  <c r="Q937" i="1" s="1"/>
  <c r="Q936" i="1" a="1"/>
  <c r="Q936" i="1" s="1"/>
  <c r="Q935" i="1" a="1"/>
  <c r="Q935" i="1"/>
  <c r="Q934" i="1" a="1"/>
  <c r="Q934" i="1" s="1"/>
  <c r="Q933" i="1" a="1"/>
  <c r="Q933" i="1" s="1"/>
  <c r="Q932" i="1" a="1"/>
  <c r="Q932" i="1"/>
  <c r="Q931" i="1" a="1"/>
  <c r="Q931" i="1"/>
  <c r="Q930" i="1" a="1"/>
  <c r="Q930" i="1"/>
  <c r="Q929" i="1" a="1"/>
  <c r="Q929" i="1" s="1"/>
  <c r="Q928" i="1" a="1"/>
  <c r="Q928" i="1" s="1"/>
  <c r="Q927" i="1" a="1"/>
  <c r="Q927" i="1" s="1"/>
  <c r="Q926" i="1" a="1"/>
  <c r="Q926" i="1" s="1"/>
  <c r="Q925" i="1" a="1"/>
  <c r="Q925" i="1" s="1"/>
  <c r="Q924" i="1" a="1"/>
  <c r="Q924" i="1"/>
  <c r="Q923" i="1" a="1"/>
  <c r="Q923" i="1" s="1"/>
  <c r="Q922" i="1" a="1"/>
  <c r="Q922" i="1"/>
  <c r="Q921" i="1" a="1"/>
  <c r="Q921" i="1" s="1"/>
  <c r="Q920" i="1" a="1"/>
  <c r="Q920" i="1" s="1"/>
  <c r="Q919" i="1" a="1"/>
  <c r="Q919" i="1" s="1"/>
  <c r="Q918" i="1" a="1"/>
  <c r="Q918" i="1" s="1"/>
  <c r="Q917" i="1" a="1"/>
  <c r="Q917" i="1" s="1"/>
  <c r="Q916" i="1" a="1"/>
  <c r="Q916" i="1"/>
  <c r="Q915" i="1" a="1"/>
  <c r="Q915" i="1" s="1"/>
  <c r="Q914" i="1" a="1"/>
  <c r="Q914" i="1" s="1"/>
  <c r="Q913" i="1" a="1"/>
  <c r="Q913" i="1" s="1"/>
  <c r="Q912" i="1" a="1"/>
  <c r="Q912" i="1"/>
  <c r="Q911" i="1" a="1"/>
  <c r="Q911" i="1"/>
  <c r="Q910" i="1" a="1"/>
  <c r="Q910" i="1" s="1"/>
  <c r="Q909" i="1" a="1"/>
  <c r="Q909" i="1" s="1"/>
  <c r="Q908" i="1" a="1"/>
  <c r="Q908" i="1" s="1"/>
  <c r="Q907" i="1" a="1"/>
  <c r="Q907" i="1"/>
  <c r="Q906" i="1" a="1"/>
  <c r="Q906" i="1"/>
  <c r="Q905" i="1" a="1"/>
  <c r="Q905" i="1" s="1"/>
  <c r="Q904" i="1" a="1"/>
  <c r="Q904" i="1" s="1"/>
  <c r="Q903" i="1" a="1"/>
  <c r="Q903" i="1" s="1"/>
  <c r="Q902" i="1" a="1"/>
  <c r="Q902" i="1"/>
  <c r="Q901" i="1" a="1"/>
  <c r="Q901" i="1" s="1"/>
  <c r="Q900" i="1" a="1"/>
  <c r="Q900" i="1" s="1"/>
  <c r="Q899" i="1" a="1"/>
  <c r="Q899" i="1" s="1"/>
  <c r="Q898" i="1" a="1"/>
  <c r="Q898" i="1" s="1"/>
  <c r="Q897" i="1" a="1"/>
  <c r="Q897" i="1" s="1"/>
  <c r="Q896" i="1" a="1"/>
  <c r="Q896" i="1" s="1"/>
  <c r="Q895" i="1" a="1"/>
  <c r="Q895" i="1" s="1"/>
  <c r="Q894" i="1" a="1"/>
  <c r="Q894" i="1"/>
  <c r="Q893" i="1" a="1"/>
  <c r="Q893" i="1" s="1"/>
  <c r="Q892" i="1" a="1"/>
  <c r="Q892" i="1" s="1"/>
  <c r="Q891" i="1" a="1"/>
  <c r="Q891" i="1" s="1"/>
  <c r="Q890" i="1" a="1"/>
  <c r="Q890" i="1" s="1"/>
  <c r="Q889" i="1" a="1"/>
  <c r="Q889" i="1" s="1"/>
  <c r="Q888" i="1" a="1"/>
  <c r="Q888" i="1" s="1"/>
  <c r="Q887" i="1" a="1"/>
  <c r="Q887" i="1" s="1"/>
  <c r="Q886" i="1" a="1"/>
  <c r="Q886" i="1" s="1"/>
  <c r="Q885" i="1" a="1"/>
  <c r="Q885" i="1" s="1"/>
  <c r="Q884" i="1" a="1"/>
  <c r="Q884" i="1" s="1"/>
  <c r="Q883" i="1" a="1"/>
  <c r="Q883" i="1" s="1"/>
  <c r="Q882" i="1" a="1"/>
  <c r="Q882" i="1" s="1"/>
  <c r="Q881" i="1" a="1"/>
  <c r="Q881" i="1" s="1"/>
  <c r="Q880" i="1" a="1"/>
  <c r="Q880" i="1" s="1"/>
  <c r="Q879" i="1" a="1"/>
  <c r="Q879" i="1"/>
  <c r="Q878" i="1" a="1"/>
  <c r="Q878" i="1" s="1"/>
  <c r="Q877" i="1" a="1"/>
  <c r="Q877" i="1" s="1"/>
  <c r="Q876" i="1" a="1"/>
  <c r="Q876" i="1" s="1"/>
  <c r="Q875" i="1" a="1"/>
  <c r="Q875" i="1" s="1"/>
  <c r="Q874" i="1" a="1"/>
  <c r="Q874" i="1"/>
  <c r="Q873" i="1" a="1"/>
  <c r="Q873" i="1" s="1"/>
  <c r="Q872" i="1" a="1"/>
  <c r="Q872" i="1" s="1"/>
  <c r="Q871" i="1" a="1"/>
  <c r="Q871" i="1"/>
  <c r="Q870" i="1" a="1"/>
  <c r="Q870" i="1" s="1"/>
  <c r="Q869" i="1" a="1"/>
  <c r="Q869" i="1" s="1"/>
  <c r="Q868" i="1" a="1"/>
  <c r="Q868" i="1" s="1"/>
  <c r="Q867" i="1" a="1"/>
  <c r="Q867" i="1"/>
  <c r="Q866" i="1" a="1"/>
  <c r="Q866" i="1" s="1"/>
  <c r="Q865" i="1" a="1"/>
  <c r="Q865" i="1" s="1"/>
  <c r="Q864" i="1" a="1"/>
  <c r="Q864" i="1" s="1"/>
  <c r="Q863" i="1" a="1"/>
  <c r="Q863" i="1" s="1"/>
  <c r="Q862" i="1" a="1"/>
  <c r="Q862" i="1" s="1"/>
  <c r="Q861" i="1" a="1"/>
  <c r="Q861" i="1" s="1"/>
  <c r="Q860" i="1" a="1"/>
  <c r="Q860" i="1" s="1"/>
  <c r="Q859" i="1" a="1"/>
  <c r="Q859" i="1" s="1"/>
  <c r="Q858" i="1" a="1"/>
  <c r="Q858" i="1"/>
  <c r="Q857" i="1" a="1"/>
  <c r="Q857" i="1" s="1"/>
  <c r="Q856" i="1" a="1"/>
  <c r="Q856" i="1" s="1"/>
  <c r="Q855" i="1" a="1"/>
  <c r="Q855" i="1" s="1"/>
  <c r="Q854" i="1" a="1"/>
  <c r="Q854" i="1" s="1"/>
  <c r="Q853" i="1" a="1"/>
  <c r="Q853" i="1" s="1"/>
  <c r="Q852" i="1" a="1"/>
  <c r="Q852" i="1"/>
  <c r="Q851" i="1" a="1"/>
  <c r="Q851" i="1" s="1"/>
  <c r="Q850" i="1" a="1"/>
  <c r="Q850" i="1" s="1"/>
  <c r="Q849" i="1" a="1"/>
  <c r="Q849" i="1" s="1"/>
  <c r="Q848" i="1" a="1"/>
  <c r="Q848" i="1"/>
  <c r="Q847" i="1" a="1"/>
  <c r="Q847" i="1"/>
  <c r="Q846" i="1" a="1"/>
  <c r="Q846" i="1" s="1"/>
  <c r="Q845" i="1" a="1"/>
  <c r="Q845" i="1" s="1"/>
  <c r="Q844" i="1" a="1"/>
  <c r="Q844" i="1" s="1"/>
  <c r="Q843" i="1" a="1"/>
  <c r="Q843" i="1"/>
  <c r="Q842" i="1" a="1"/>
  <c r="Q842" i="1"/>
  <c r="Q841" i="1" a="1"/>
  <c r="Q841" i="1" s="1"/>
  <c r="Q840" i="1" a="1"/>
  <c r="Q840" i="1" s="1"/>
  <c r="Q839" i="1" a="1"/>
  <c r="Q839" i="1" s="1"/>
  <c r="Q838" i="1" a="1"/>
  <c r="Q838" i="1"/>
  <c r="Q837" i="1" a="1"/>
  <c r="Q837" i="1" s="1"/>
  <c r="Q836" i="1" a="1"/>
  <c r="Q836" i="1" s="1"/>
  <c r="Q835" i="1" a="1"/>
  <c r="Q835" i="1" s="1"/>
  <c r="Q834" i="1" a="1"/>
  <c r="Q834" i="1"/>
  <c r="Q833" i="1" a="1"/>
  <c r="Q833" i="1" s="1"/>
  <c r="Q832" i="1" a="1"/>
  <c r="Q832" i="1" s="1"/>
  <c r="Q831" i="1" a="1"/>
  <c r="Q831" i="1" s="1"/>
  <c r="Q830" i="1" a="1"/>
  <c r="Q830" i="1"/>
  <c r="Q829" i="1" a="1"/>
  <c r="Q829" i="1" s="1"/>
  <c r="Q828" i="1" a="1"/>
  <c r="Q828" i="1"/>
  <c r="Q827" i="1" a="1"/>
  <c r="Q827" i="1" s="1"/>
  <c r="Q826" i="1" a="1"/>
  <c r="Q826" i="1" s="1"/>
  <c r="Q825" i="1" a="1"/>
  <c r="Q825" i="1" s="1"/>
  <c r="Q824" i="1" a="1"/>
  <c r="Q824" i="1"/>
  <c r="Q823" i="1" a="1"/>
  <c r="Q823" i="1" s="1"/>
  <c r="Q822" i="1" a="1"/>
  <c r="Q822" i="1" s="1"/>
  <c r="Q821" i="1" a="1"/>
  <c r="Q821" i="1" s="1"/>
  <c r="Q820" i="1" a="1"/>
  <c r="Q820" i="1" s="1"/>
  <c r="Q819" i="1" a="1"/>
  <c r="Q819" i="1"/>
  <c r="Q818" i="1" a="1"/>
  <c r="Q818" i="1" s="1"/>
  <c r="Q817" i="1" a="1"/>
  <c r="Q817" i="1" s="1"/>
  <c r="Q816" i="1" a="1"/>
  <c r="Q816" i="1" s="1"/>
  <c r="Q815" i="1" a="1"/>
  <c r="Q815" i="1" s="1"/>
  <c r="Q814" i="1" a="1"/>
  <c r="Q814" i="1" s="1"/>
  <c r="Q813" i="1" a="1"/>
  <c r="Q813" i="1" s="1"/>
  <c r="Q812" i="1" a="1"/>
  <c r="Q812" i="1" s="1"/>
  <c r="Q811" i="1" a="1"/>
  <c r="Q811" i="1"/>
  <c r="Q810" i="1" a="1"/>
  <c r="Q810" i="1" s="1"/>
  <c r="Q809" i="1" a="1"/>
  <c r="Q809" i="1" s="1"/>
  <c r="Q808" i="1" a="1"/>
  <c r="Q808" i="1" s="1"/>
  <c r="Q807" i="1" a="1"/>
  <c r="Q807" i="1"/>
  <c r="Q806" i="1" a="1"/>
  <c r="Q806" i="1" s="1"/>
  <c r="Q805" i="1" a="1"/>
  <c r="Q805" i="1" s="1"/>
  <c r="Q804" i="1" a="1"/>
  <c r="Q804" i="1" s="1"/>
  <c r="Q803" i="1" a="1"/>
  <c r="Q803" i="1" s="1"/>
  <c r="Q802" i="1" a="1"/>
  <c r="Q802" i="1" s="1"/>
  <c r="Q801" i="1" a="1"/>
  <c r="Q801" i="1" s="1"/>
  <c r="Q800" i="1" a="1"/>
  <c r="Q800" i="1" s="1"/>
  <c r="Q799" i="1" a="1"/>
  <c r="Q799" i="1" s="1"/>
  <c r="Q798" i="1" a="1"/>
  <c r="Q798" i="1" s="1"/>
  <c r="Q797" i="1" a="1"/>
  <c r="Q797" i="1" s="1"/>
  <c r="Q796" i="1" a="1"/>
  <c r="Q796" i="1" s="1"/>
  <c r="Q795" i="1" a="1"/>
  <c r="Q795" i="1" s="1"/>
  <c r="Q794" i="1" a="1"/>
  <c r="Q794" i="1" s="1"/>
  <c r="Q793" i="1" a="1"/>
  <c r="Q793" i="1" s="1"/>
  <c r="Q792" i="1" a="1"/>
  <c r="Q792" i="1" s="1"/>
  <c r="Q791" i="1" a="1"/>
  <c r="Q791" i="1" s="1"/>
  <c r="Q790" i="1" a="1"/>
  <c r="Q790" i="1" s="1"/>
  <c r="Q789" i="1" a="1"/>
  <c r="Q789" i="1" s="1"/>
  <c r="Q788" i="1" a="1"/>
  <c r="Q788" i="1" s="1"/>
  <c r="Q787" i="1" a="1"/>
  <c r="Q787" i="1" s="1"/>
  <c r="Q786" i="1" a="1"/>
  <c r="Q786" i="1" s="1"/>
  <c r="Q785" i="1" a="1"/>
  <c r="Q785" i="1" s="1"/>
  <c r="Q784" i="1" a="1"/>
  <c r="Q784" i="1" s="1"/>
  <c r="Q783" i="1" a="1"/>
  <c r="Q783" i="1"/>
  <c r="Q782" i="1" a="1"/>
  <c r="Q782" i="1" s="1"/>
  <c r="Q781" i="1" a="1"/>
  <c r="Q781" i="1" s="1"/>
  <c r="Q780" i="1" a="1"/>
  <c r="Q780" i="1" s="1"/>
  <c r="Q779" i="1" a="1"/>
  <c r="Q779" i="1"/>
  <c r="Q778" i="1" a="1"/>
  <c r="Q778" i="1"/>
  <c r="Q777" i="1" a="1"/>
  <c r="Q777" i="1" s="1"/>
  <c r="Q776" i="1" a="1"/>
  <c r="Q776" i="1" s="1"/>
  <c r="Q775" i="1" a="1"/>
  <c r="Q775" i="1" s="1"/>
  <c r="Q774" i="1" a="1"/>
  <c r="Q774" i="1"/>
  <c r="Q773" i="1" a="1"/>
  <c r="Q773" i="1" s="1"/>
  <c r="Q772" i="1" a="1"/>
  <c r="Q772" i="1" s="1"/>
  <c r="Q771" i="1" a="1"/>
  <c r="Q771" i="1" s="1"/>
  <c r="Q770" i="1" a="1"/>
  <c r="Q770" i="1" s="1"/>
  <c r="Q769" i="1" a="1"/>
  <c r="Q769" i="1" s="1"/>
  <c r="Q768" i="1" a="1"/>
  <c r="Q768" i="1" s="1"/>
  <c r="Q767" i="1" a="1"/>
  <c r="Q767" i="1" s="1"/>
  <c r="Q766" i="1" a="1"/>
  <c r="Q766" i="1" s="1"/>
  <c r="Q765" i="1" a="1"/>
  <c r="Q765" i="1" s="1"/>
  <c r="Q764" i="1" a="1"/>
  <c r="Q764" i="1" s="1"/>
  <c r="Q763" i="1" a="1"/>
  <c r="Q763" i="1" s="1"/>
  <c r="Q762" i="1" a="1"/>
  <c r="Q762" i="1" s="1"/>
  <c r="Q761" i="1" a="1"/>
  <c r="Q761" i="1" s="1"/>
  <c r="Q760" i="1" a="1"/>
  <c r="Q760" i="1"/>
  <c r="Q759" i="1" a="1"/>
  <c r="Q759" i="1" s="1"/>
  <c r="Q758" i="1" a="1"/>
  <c r="Q758" i="1" s="1"/>
  <c r="Q757" i="1" a="1"/>
  <c r="Q757" i="1" s="1"/>
  <c r="Q756" i="1" a="1"/>
  <c r="Q756" i="1" s="1"/>
  <c r="Q755" i="1" a="1"/>
  <c r="Q755" i="1" s="1"/>
  <c r="Q754" i="1" a="1"/>
  <c r="Q754" i="1" s="1"/>
  <c r="Q753" i="1" a="1"/>
  <c r="Q753" i="1" s="1"/>
  <c r="Q752" i="1" a="1"/>
  <c r="Q752" i="1" s="1"/>
  <c r="Q751" i="1" a="1"/>
  <c r="Q751" i="1" s="1"/>
  <c r="Q750" i="1" a="1"/>
  <c r="Q750" i="1" s="1"/>
  <c r="Q749" i="1" a="1"/>
  <c r="Q749" i="1" s="1"/>
  <c r="Q748" i="1" a="1"/>
  <c r="Q748" i="1" s="1"/>
  <c r="Q747" i="1" a="1"/>
  <c r="Q747" i="1"/>
  <c r="Q746" i="1" a="1"/>
  <c r="Q746" i="1" s="1"/>
  <c r="Q745" i="1" a="1"/>
  <c r="Q745" i="1" s="1"/>
  <c r="Q744" i="1" a="1"/>
  <c r="Q744" i="1" s="1"/>
  <c r="Q743" i="1" a="1"/>
  <c r="Q743" i="1"/>
  <c r="Q742" i="1" a="1"/>
  <c r="Q742" i="1"/>
  <c r="Q741" i="1" a="1"/>
  <c r="Q741" i="1" s="1"/>
  <c r="Q740" i="1" a="1"/>
  <c r="Q740" i="1" s="1"/>
  <c r="Q739" i="1" a="1"/>
  <c r="Q739" i="1" s="1"/>
  <c r="Q738" i="1" a="1"/>
  <c r="Q738" i="1" s="1"/>
  <c r="Q737" i="1" a="1"/>
  <c r="Q737" i="1" s="1"/>
  <c r="Q736" i="1" a="1"/>
  <c r="Q736" i="1" s="1"/>
  <c r="Q735" i="1" a="1"/>
  <c r="Q735" i="1" s="1"/>
  <c r="Q734" i="1" a="1"/>
  <c r="Q734" i="1"/>
  <c r="Q733" i="1" a="1"/>
  <c r="Q733" i="1" s="1"/>
  <c r="Q732" i="1" a="1"/>
  <c r="Q732" i="1" s="1"/>
  <c r="Q731" i="1" a="1"/>
  <c r="Q731" i="1" s="1"/>
  <c r="Q730" i="1" a="1"/>
  <c r="Q730" i="1" s="1"/>
  <c r="Q729" i="1" a="1"/>
  <c r="Q729" i="1" s="1"/>
  <c r="Q728" i="1" a="1"/>
  <c r="Q728" i="1"/>
  <c r="Q727" i="1" a="1"/>
  <c r="Q727" i="1" s="1"/>
  <c r="Q726" i="1" a="1"/>
  <c r="Q726" i="1" s="1"/>
  <c r="Q725" i="1" a="1"/>
  <c r="Q725" i="1" s="1"/>
  <c r="Q724" i="1" a="1"/>
  <c r="Q724" i="1" s="1"/>
  <c r="Q723" i="1" a="1"/>
  <c r="Q723" i="1" s="1"/>
  <c r="Q722" i="1" a="1"/>
  <c r="Q722" i="1" s="1"/>
  <c r="Q721" i="1" a="1"/>
  <c r="Q721" i="1" s="1"/>
  <c r="Q720" i="1" a="1"/>
  <c r="Q720" i="1" s="1"/>
  <c r="Q719" i="1" a="1"/>
  <c r="Q719" i="1"/>
  <c r="Q718" i="1" a="1"/>
  <c r="Q718" i="1" s="1"/>
  <c r="Q717" i="1" a="1"/>
  <c r="Q717" i="1" s="1"/>
  <c r="Q716" i="1" a="1"/>
  <c r="Q716" i="1" s="1"/>
  <c r="Q715" i="1" a="1"/>
  <c r="Q715" i="1"/>
  <c r="Q714" i="1" a="1"/>
  <c r="Q714" i="1"/>
  <c r="Q713" i="1" a="1"/>
  <c r="Q713" i="1" s="1"/>
  <c r="Q712" i="1" a="1"/>
  <c r="Q712" i="1" s="1"/>
  <c r="Q711" i="1" a="1"/>
  <c r="Q711" i="1" s="1"/>
  <c r="Q710" i="1" a="1"/>
  <c r="Q710" i="1"/>
  <c r="Q709" i="1" a="1"/>
  <c r="Q709" i="1" s="1"/>
  <c r="Q708" i="1" a="1"/>
  <c r="Q708" i="1" s="1"/>
  <c r="Q707" i="1" a="1"/>
  <c r="Q707" i="1" s="1"/>
  <c r="Q706" i="1" a="1"/>
  <c r="Q706" i="1" s="1"/>
  <c r="Q705" i="1" a="1"/>
  <c r="Q705" i="1" s="1"/>
  <c r="Q704" i="1" a="1"/>
  <c r="Q704" i="1" s="1"/>
  <c r="Q703" i="1" a="1"/>
  <c r="Q703" i="1" s="1"/>
  <c r="Q702" i="1" a="1"/>
  <c r="Q702" i="1" s="1"/>
  <c r="Q701" i="1" a="1"/>
  <c r="Q701" i="1" s="1"/>
  <c r="Q700" i="1" a="1"/>
  <c r="Q700" i="1" s="1"/>
  <c r="Q699" i="1" a="1"/>
  <c r="Q699" i="1" s="1"/>
  <c r="Q698" i="1" a="1"/>
  <c r="Q698" i="1" s="1"/>
  <c r="Q697" i="1" a="1"/>
  <c r="Q697" i="1" s="1"/>
  <c r="Q696" i="1" a="1"/>
  <c r="Q696" i="1"/>
  <c r="Q695" i="1" a="1"/>
  <c r="Q695" i="1" s="1"/>
  <c r="Q694" i="1" a="1"/>
  <c r="Q694" i="1" s="1"/>
  <c r="Q693" i="1" a="1"/>
  <c r="Q693" i="1" s="1"/>
  <c r="Q692" i="1" a="1"/>
  <c r="Q692" i="1" s="1"/>
  <c r="Q691" i="1" a="1"/>
  <c r="Q691" i="1" s="1"/>
  <c r="Q690" i="1" a="1"/>
  <c r="Q690" i="1" s="1"/>
  <c r="Q689" i="1" a="1"/>
  <c r="Q689" i="1" s="1"/>
  <c r="Q688" i="1" a="1"/>
  <c r="Q688" i="1" s="1"/>
  <c r="Q687" i="1" a="1"/>
  <c r="Q687" i="1" s="1"/>
  <c r="Q686" i="1" a="1"/>
  <c r="Q686" i="1" s="1"/>
  <c r="Q685" i="1" a="1"/>
  <c r="Q685" i="1" s="1"/>
  <c r="Q684" i="1" a="1"/>
  <c r="Q684" i="1" s="1"/>
  <c r="Q683" i="1" a="1"/>
  <c r="Q683" i="1"/>
  <c r="Q682" i="1" a="1"/>
  <c r="Q682" i="1" s="1"/>
  <c r="Q681" i="1" a="1"/>
  <c r="Q681" i="1" s="1"/>
  <c r="Q680" i="1" a="1"/>
  <c r="Q680" i="1" s="1"/>
  <c r="Q679" i="1" a="1"/>
  <c r="Q679" i="1"/>
  <c r="Q678" i="1" a="1"/>
  <c r="Q678" i="1"/>
  <c r="Q677" i="1" a="1"/>
  <c r="Q677" i="1" s="1"/>
  <c r="Q676" i="1" a="1"/>
  <c r="Q676" i="1" s="1"/>
  <c r="Q675" i="1" a="1"/>
  <c r="Q675" i="1" s="1"/>
  <c r="Q674" i="1" a="1"/>
  <c r="Q674" i="1" s="1"/>
  <c r="Q673" i="1" a="1"/>
  <c r="Q673" i="1" s="1"/>
  <c r="Q672" i="1" a="1"/>
  <c r="Q672" i="1" s="1"/>
  <c r="Q671" i="1" a="1"/>
  <c r="Q671" i="1" s="1"/>
  <c r="Q670" i="1" a="1"/>
  <c r="Q670" i="1"/>
  <c r="Q669" i="1" a="1"/>
  <c r="Q669" i="1" s="1"/>
  <c r="Q668" i="1" a="1"/>
  <c r="Q668" i="1" s="1"/>
  <c r="Q667" i="1" a="1"/>
  <c r="Q667" i="1" s="1"/>
  <c r="Q666" i="1" a="1"/>
  <c r="Q666" i="1" s="1"/>
  <c r="Q665" i="1" a="1"/>
  <c r="Q665" i="1" s="1"/>
  <c r="Q664" i="1" a="1"/>
  <c r="Q664" i="1"/>
  <c r="Q663" i="1" a="1"/>
  <c r="Q663" i="1" s="1"/>
  <c r="Q662" i="1" a="1"/>
  <c r="Q662" i="1"/>
  <c r="Q661" i="1" a="1"/>
  <c r="Q661" i="1" s="1"/>
  <c r="Q660" i="1" a="1"/>
  <c r="Q660" i="1" s="1"/>
  <c r="Q659" i="1" a="1"/>
  <c r="Q659" i="1" s="1"/>
  <c r="Q658" i="1" a="1"/>
  <c r="Q658" i="1" s="1"/>
  <c r="Q657" i="1" a="1"/>
  <c r="Q657" i="1"/>
  <c r="Q656" i="1" a="1"/>
  <c r="Q656" i="1" s="1"/>
  <c r="Q655" i="1" a="1"/>
  <c r="Q655" i="1" s="1"/>
  <c r="Q654" i="1" a="1"/>
  <c r="Q654" i="1" s="1"/>
  <c r="Q653" i="1" a="1"/>
  <c r="Q653" i="1"/>
  <c r="Q652" i="1" a="1"/>
  <c r="Q652" i="1" s="1"/>
  <c r="Q651" i="1" a="1"/>
  <c r="Q651" i="1" s="1"/>
  <c r="Q650" i="1" a="1"/>
  <c r="Q650" i="1" s="1"/>
  <c r="Q649" i="1" a="1"/>
  <c r="Q649" i="1"/>
  <c r="Q648" i="1" a="1"/>
  <c r="Q648" i="1" s="1"/>
  <c r="Q647" i="1" a="1"/>
  <c r="Q647" i="1" s="1"/>
  <c r="Q646" i="1" a="1"/>
  <c r="Q646" i="1" s="1"/>
  <c r="Q645" i="1" a="1"/>
  <c r="Q645" i="1"/>
  <c r="Q644" i="1" a="1"/>
  <c r="Q644" i="1" s="1"/>
  <c r="Q643" i="1" a="1"/>
  <c r="Q643" i="1" s="1"/>
  <c r="Q642" i="1" a="1"/>
  <c r="Q642" i="1" s="1"/>
  <c r="Q641" i="1" a="1"/>
  <c r="Q641" i="1"/>
  <c r="Q640" i="1" a="1"/>
  <c r="Q640" i="1"/>
  <c r="Q639" i="1" a="1"/>
  <c r="Q639" i="1" s="1"/>
  <c r="Q638" i="1" a="1"/>
  <c r="Q638" i="1" s="1"/>
  <c r="Q637" i="1" a="1"/>
  <c r="Q637" i="1" s="1"/>
  <c r="Q636" i="1" a="1"/>
  <c r="Q636" i="1" s="1"/>
  <c r="Q635" i="1" a="1"/>
  <c r="Q635" i="1" s="1"/>
  <c r="Q634" i="1" a="1"/>
  <c r="Q634" i="1" s="1"/>
  <c r="Q633" i="1" a="1"/>
  <c r="Q633" i="1"/>
  <c r="Q632" i="1" a="1"/>
  <c r="Q632" i="1" s="1"/>
  <c r="Q631" i="1" a="1"/>
  <c r="Q631" i="1" s="1"/>
  <c r="Q630" i="1" a="1"/>
  <c r="Q630" i="1" s="1"/>
  <c r="Q629" i="1" a="1"/>
  <c r="Q629" i="1"/>
  <c r="Q628" i="1" a="1"/>
  <c r="Q628" i="1"/>
  <c r="Q627" i="1" a="1"/>
  <c r="Q627" i="1" s="1"/>
  <c r="Q626" i="1" a="1"/>
  <c r="Q626" i="1" s="1"/>
  <c r="Q625" i="1" a="1"/>
  <c r="Q625" i="1" s="1"/>
  <c r="Q624" i="1" a="1"/>
  <c r="Q624" i="1"/>
  <c r="Q623" i="1" a="1"/>
  <c r="Q623" i="1" s="1"/>
  <c r="Q622" i="1" a="1"/>
  <c r="Q622" i="1" s="1"/>
  <c r="Q621" i="1" a="1"/>
  <c r="Q621" i="1" s="1"/>
  <c r="Q620" i="1" a="1"/>
  <c r="Q620" i="1" s="1"/>
  <c r="Q619" i="1" a="1"/>
  <c r="Q619" i="1" s="1"/>
  <c r="Q618" i="1" a="1"/>
  <c r="Q618" i="1" s="1"/>
  <c r="Q617" i="1" a="1"/>
  <c r="Q617" i="1" s="1"/>
  <c r="Q616" i="1" a="1"/>
  <c r="Q616" i="1" s="1"/>
  <c r="Q615" i="1" a="1"/>
  <c r="Q615" i="1" s="1"/>
  <c r="Q614" i="1" a="1"/>
  <c r="Q614" i="1" s="1"/>
  <c r="Q613" i="1" a="1"/>
  <c r="Q613" i="1" s="1"/>
  <c r="Q612" i="1" a="1"/>
  <c r="Q612" i="1" s="1"/>
  <c r="Q611" i="1" a="1"/>
  <c r="Q611" i="1" s="1"/>
  <c r="Q610" i="1" a="1"/>
  <c r="Q610" i="1" s="1"/>
  <c r="Q609" i="1" a="1"/>
  <c r="Q609" i="1" s="1"/>
  <c r="Q608" i="1" a="1"/>
  <c r="Q608" i="1" s="1"/>
  <c r="Q607" i="1" a="1"/>
  <c r="Q607" i="1" s="1"/>
  <c r="Q606" i="1" a="1"/>
  <c r="Q606" i="1" s="1"/>
  <c r="Q605" i="1" a="1"/>
  <c r="Q605" i="1" s="1"/>
  <c r="Q604" i="1" a="1"/>
  <c r="Q604" i="1" s="1"/>
  <c r="Q603" i="1" a="1"/>
  <c r="Q603" i="1" s="1"/>
  <c r="Q602" i="1" a="1"/>
  <c r="Q602" i="1" s="1"/>
  <c r="Q601" i="1" a="1"/>
  <c r="Q601" i="1" s="1"/>
  <c r="Q600" i="1" a="1"/>
  <c r="Q600" i="1" s="1"/>
  <c r="Q599" i="1" a="1"/>
  <c r="Q599" i="1" s="1"/>
  <c r="Q598" i="1" a="1"/>
  <c r="Q598" i="1" s="1"/>
  <c r="Q597" i="1" a="1"/>
  <c r="Q597" i="1" s="1"/>
  <c r="Q596" i="1" a="1"/>
  <c r="Q596" i="1"/>
  <c r="Q595" i="1" a="1"/>
  <c r="Q595" i="1" s="1"/>
  <c r="Q594" i="1" a="1"/>
  <c r="Q594" i="1" s="1"/>
  <c r="Q593" i="1" a="1"/>
  <c r="Q593" i="1" s="1"/>
  <c r="Q592" i="1" a="1"/>
  <c r="Q592" i="1"/>
  <c r="Q591" i="1" a="1"/>
  <c r="Q591" i="1" s="1"/>
  <c r="Q590" i="1" a="1"/>
  <c r="Q590" i="1" s="1"/>
  <c r="Q589" i="1" a="1"/>
  <c r="Q589" i="1" s="1"/>
  <c r="Q588" i="1" a="1"/>
  <c r="Q588" i="1" s="1"/>
  <c r="Q587" i="1" a="1"/>
  <c r="Q587" i="1" s="1"/>
  <c r="Q586" i="1" a="1"/>
  <c r="Q586" i="1" s="1"/>
  <c r="Q585" i="1" a="1"/>
  <c r="Q585" i="1"/>
  <c r="Q584" i="1" a="1"/>
  <c r="Q584" i="1" s="1"/>
  <c r="Q583" i="1" a="1"/>
  <c r="Q583" i="1" s="1"/>
  <c r="Q582" i="1" a="1"/>
  <c r="Q582" i="1" s="1"/>
  <c r="Q581" i="1" a="1"/>
  <c r="Q581" i="1"/>
  <c r="Q580" i="1" a="1"/>
  <c r="Q580" i="1" s="1"/>
  <c r="Q579" i="1" a="1"/>
  <c r="Q579" i="1" s="1"/>
  <c r="Q578" i="1" a="1"/>
  <c r="Q578" i="1" s="1"/>
  <c r="Q577" i="1" a="1"/>
  <c r="Q577" i="1" s="1"/>
  <c r="Q576" i="1" a="1"/>
  <c r="Q576" i="1"/>
  <c r="Q575" i="1" a="1"/>
  <c r="Q575" i="1" s="1"/>
  <c r="Q574" i="1" a="1"/>
  <c r="Q574" i="1" s="1"/>
  <c r="Q573" i="1" a="1"/>
  <c r="Q573" i="1" s="1"/>
  <c r="Q572" i="1" a="1"/>
  <c r="Q572" i="1" s="1"/>
  <c r="Q571" i="1" a="1"/>
  <c r="Q571" i="1" s="1"/>
  <c r="Q570" i="1" a="1"/>
  <c r="Q570" i="1" s="1"/>
  <c r="Q569" i="1" a="1"/>
  <c r="Q569" i="1"/>
  <c r="Q568" i="1" a="1"/>
  <c r="Q568" i="1" s="1"/>
  <c r="Q567" i="1" a="1"/>
  <c r="Q567" i="1" s="1"/>
  <c r="Q566" i="1" a="1"/>
  <c r="Q566" i="1" s="1"/>
  <c r="Q565" i="1" a="1"/>
  <c r="Q565" i="1"/>
  <c r="Q564" i="1" a="1"/>
  <c r="Q564" i="1"/>
  <c r="Q563" i="1" a="1"/>
  <c r="Q563" i="1" s="1"/>
  <c r="Q562" i="1" a="1"/>
  <c r="Q562" i="1" s="1"/>
  <c r="Q561" i="1" a="1"/>
  <c r="Q561" i="1" s="1"/>
  <c r="Q560" i="1" a="1"/>
  <c r="Q560" i="1"/>
  <c r="Q559" i="1" a="1"/>
  <c r="Q559" i="1" s="1"/>
  <c r="Q558" i="1" a="1"/>
  <c r="Q558" i="1" s="1"/>
  <c r="Q557" i="1" a="1"/>
  <c r="Q557" i="1" s="1"/>
  <c r="Q556" i="1" a="1"/>
  <c r="Q556" i="1" s="1"/>
  <c r="Q555" i="1" a="1"/>
  <c r="Q555" i="1" s="1"/>
  <c r="Q554" i="1" a="1"/>
  <c r="Q554" i="1" s="1"/>
  <c r="Q553" i="1" a="1"/>
  <c r="Q553" i="1"/>
  <c r="Q552" i="1" a="1"/>
  <c r="Q552" i="1" s="1"/>
  <c r="Q551" i="1" a="1"/>
  <c r="Q551" i="1" s="1"/>
  <c r="Q550" i="1" a="1"/>
  <c r="Q550" i="1" s="1"/>
  <c r="Q549" i="1" a="1"/>
  <c r="Q549" i="1" s="1"/>
  <c r="Q548" i="1" a="1"/>
  <c r="Q548" i="1" s="1"/>
  <c r="Q547" i="1" a="1"/>
  <c r="Q547" i="1" s="1"/>
  <c r="Q546" i="1" a="1"/>
  <c r="Q546" i="1" s="1"/>
  <c r="Q545" i="1" a="1"/>
  <c r="Q545" i="1" s="1"/>
  <c r="Q544" i="1" a="1"/>
  <c r="Q544" i="1"/>
  <c r="Q543" i="1" a="1"/>
  <c r="Q543" i="1" s="1"/>
  <c r="Q542" i="1" a="1"/>
  <c r="Q542" i="1" s="1"/>
  <c r="Q541" i="1" a="1"/>
  <c r="Q541" i="1" s="1"/>
  <c r="Q540" i="1" a="1"/>
  <c r="Q540" i="1" s="1"/>
  <c r="Q539" i="1" a="1"/>
  <c r="Q539" i="1" s="1"/>
  <c r="Q538" i="1" a="1"/>
  <c r="Q538" i="1" s="1"/>
  <c r="Q537" i="1" a="1"/>
  <c r="Q537" i="1"/>
  <c r="Q536" i="1" a="1"/>
  <c r="Q536" i="1" s="1"/>
  <c r="Q535" i="1" a="1"/>
  <c r="Q535" i="1" s="1"/>
  <c r="Q534" i="1" a="1"/>
  <c r="Q534" i="1" s="1"/>
  <c r="Q533" i="1" a="1"/>
  <c r="Q533" i="1"/>
  <c r="Q532" i="1" a="1"/>
  <c r="Q532" i="1" s="1"/>
  <c r="Q531" i="1" a="1"/>
  <c r="Q531" i="1" s="1"/>
  <c r="Q530" i="1" a="1"/>
  <c r="Q530" i="1" s="1"/>
  <c r="Q529" i="1" a="1"/>
  <c r="Q529" i="1" s="1"/>
  <c r="Q528" i="1" a="1"/>
  <c r="Q528" i="1" s="1"/>
  <c r="Q527" i="1" a="1"/>
  <c r="Q527" i="1" s="1"/>
  <c r="Q526" i="1" a="1"/>
  <c r="Q526" i="1" s="1"/>
  <c r="Q525" i="1" a="1"/>
  <c r="Q525" i="1" s="1"/>
  <c r="Q524" i="1" a="1"/>
  <c r="Q524" i="1" s="1"/>
  <c r="Q523" i="1" a="1"/>
  <c r="Q523" i="1" s="1"/>
  <c r="Q522" i="1" a="1"/>
  <c r="Q522" i="1" s="1"/>
  <c r="Q521" i="1" a="1"/>
  <c r="Q521" i="1" s="1"/>
  <c r="Q520" i="1" a="1"/>
  <c r="Q520" i="1" s="1"/>
  <c r="Q519" i="1" a="1"/>
  <c r="Q519" i="1" s="1"/>
  <c r="Q518" i="1" a="1"/>
  <c r="Q518" i="1" s="1"/>
  <c r="Q517" i="1" a="1"/>
  <c r="Q517" i="1"/>
  <c r="Q516" i="1" a="1"/>
  <c r="Q516" i="1" s="1"/>
  <c r="Q515" i="1" a="1"/>
  <c r="Q515" i="1" s="1"/>
  <c r="Q514" i="1" a="1"/>
  <c r="Q514" i="1" s="1"/>
  <c r="Q513" i="1" a="1"/>
  <c r="Q513" i="1" s="1"/>
  <c r="Q512" i="1" a="1"/>
  <c r="Q512" i="1" s="1"/>
  <c r="Q511" i="1" a="1"/>
  <c r="Q511" i="1" s="1"/>
  <c r="Q510" i="1" a="1"/>
  <c r="Q510" i="1" s="1"/>
  <c r="Q509" i="1" a="1"/>
  <c r="Q509" i="1" s="1"/>
  <c r="Q508" i="1" a="1"/>
  <c r="Q508" i="1" s="1"/>
  <c r="Q507" i="1" a="1"/>
  <c r="Q507" i="1" s="1"/>
  <c r="Q506" i="1" a="1"/>
  <c r="Q506" i="1" s="1"/>
  <c r="Q505" i="1" a="1"/>
  <c r="Q505" i="1" s="1"/>
  <c r="Q504" i="1" a="1"/>
  <c r="Q504" i="1" s="1"/>
  <c r="Q503" i="1" a="1"/>
  <c r="Q503" i="1" s="1"/>
  <c r="Q502" i="1" a="1"/>
  <c r="Q502" i="1" s="1"/>
  <c r="Q501" i="1" a="1"/>
  <c r="Q501" i="1" s="1"/>
  <c r="Q500" i="1" a="1"/>
  <c r="Q500" i="1"/>
  <c r="Q499" i="1" a="1"/>
  <c r="Q499" i="1" s="1"/>
  <c r="Q498" i="1" a="1"/>
  <c r="Q498" i="1" s="1"/>
  <c r="Q497" i="1" a="1"/>
  <c r="Q497" i="1" s="1"/>
  <c r="Q496" i="1" a="1"/>
  <c r="Q496" i="1"/>
  <c r="Q495" i="1" a="1"/>
  <c r="Q495" i="1" s="1"/>
  <c r="Q494" i="1" a="1"/>
  <c r="Q494" i="1" s="1"/>
  <c r="Q493" i="1" a="1"/>
  <c r="Q493" i="1" s="1"/>
  <c r="Q492" i="1" a="1"/>
  <c r="Q492" i="1" s="1"/>
  <c r="Q491" i="1" a="1"/>
  <c r="Q491" i="1" s="1"/>
  <c r="Q490" i="1" a="1"/>
  <c r="Q490" i="1" s="1"/>
  <c r="Q489" i="1" a="1"/>
  <c r="Q489" i="1"/>
  <c r="Q488" i="1" a="1"/>
  <c r="Q488" i="1" s="1"/>
  <c r="Q487" i="1" a="1"/>
  <c r="Q487" i="1" s="1"/>
  <c r="Q486" i="1" a="1"/>
  <c r="Q486" i="1" s="1"/>
  <c r="Q485" i="1" a="1"/>
  <c r="Q485" i="1"/>
  <c r="Q484" i="1" a="1"/>
  <c r="Q484" i="1" s="1"/>
  <c r="Q483" i="1" a="1"/>
  <c r="Q483" i="1" s="1"/>
  <c r="Q482" i="1" a="1"/>
  <c r="Q482" i="1" s="1"/>
  <c r="Q481" i="1" a="1"/>
  <c r="Q481" i="1" s="1"/>
  <c r="Q480" i="1" a="1"/>
  <c r="Q480" i="1"/>
  <c r="Q479" i="1" a="1"/>
  <c r="Q479" i="1" s="1"/>
  <c r="Q478" i="1" a="1"/>
  <c r="Q478" i="1" s="1"/>
  <c r="Q477" i="1" a="1"/>
  <c r="Q477" i="1" s="1"/>
  <c r="Q476" i="1" a="1"/>
  <c r="Q476" i="1" s="1"/>
  <c r="Q475" i="1" a="1"/>
  <c r="Q475" i="1" s="1"/>
  <c r="Q474" i="1" a="1"/>
  <c r="Q474" i="1" s="1"/>
  <c r="Q473" i="1" a="1"/>
  <c r="Q473" i="1"/>
  <c r="Q472" i="1" a="1"/>
  <c r="Q472" i="1" s="1"/>
  <c r="Q471" i="1" a="1"/>
  <c r="Q471" i="1" s="1"/>
  <c r="Q470" i="1" a="1"/>
  <c r="Q470" i="1" s="1"/>
  <c r="Q469" i="1" a="1"/>
  <c r="Q469" i="1"/>
  <c r="Q468" i="1" a="1"/>
  <c r="Q468" i="1"/>
  <c r="Q467" i="1" a="1"/>
  <c r="Q467" i="1" s="1"/>
  <c r="Q466" i="1" a="1"/>
  <c r="Q466" i="1" s="1"/>
  <c r="Q465" i="1" a="1"/>
  <c r="Q465" i="1" s="1"/>
  <c r="Q464" i="1" a="1"/>
  <c r="Q464" i="1" s="1"/>
  <c r="Q463" i="1" a="1"/>
  <c r="Q463" i="1" s="1"/>
  <c r="Q462" i="1" a="1"/>
  <c r="Q462" i="1" s="1"/>
  <c r="Q461" i="1" a="1"/>
  <c r="Q461" i="1"/>
  <c r="Q460" i="1" a="1"/>
  <c r="Q460" i="1"/>
  <c r="Q459" i="1" a="1"/>
  <c r="Q459" i="1" s="1"/>
  <c r="Q458" i="1" a="1"/>
  <c r="Q458" i="1" s="1"/>
  <c r="Q457" i="1" a="1"/>
  <c r="Q457" i="1" s="1"/>
  <c r="Q456" i="1" a="1"/>
  <c r="Q456" i="1" s="1"/>
  <c r="Q455" i="1" a="1"/>
  <c r="Q455" i="1" s="1"/>
  <c r="Q454" i="1" a="1"/>
  <c r="Q454" i="1" s="1"/>
  <c r="Q453" i="1" a="1"/>
  <c r="Q453" i="1" s="1"/>
  <c r="Q452" i="1" a="1"/>
  <c r="Q452" i="1" s="1"/>
  <c r="Q451" i="1" a="1"/>
  <c r="Q451" i="1"/>
  <c r="Q450" i="1" a="1"/>
  <c r="Q450" i="1" s="1"/>
  <c r="Q449" i="1" a="1"/>
  <c r="Q449" i="1"/>
  <c r="Q448" i="1" a="1"/>
  <c r="Q448" i="1" s="1"/>
  <c r="Q447" i="1" a="1"/>
  <c r="Q447" i="1" s="1"/>
  <c r="Q446" i="1" a="1"/>
  <c r="Q446" i="1" s="1"/>
  <c r="Q445" i="1" a="1"/>
  <c r="Q445" i="1"/>
  <c r="Q444" i="1" a="1"/>
  <c r="Q444" i="1" s="1"/>
  <c r="Q443" i="1" a="1"/>
  <c r="Q443" i="1"/>
  <c r="Q442" i="1" a="1"/>
  <c r="Q442" i="1"/>
  <c r="Q441" i="1" a="1"/>
  <c r="Q441" i="1"/>
  <c r="Q440" i="1" a="1"/>
  <c r="Q440" i="1" s="1"/>
  <c r="Q439" i="1" a="1"/>
  <c r="Q439" i="1"/>
  <c r="Q438" i="1" a="1"/>
  <c r="Q438" i="1" s="1"/>
  <c r="Q437" i="1" a="1"/>
  <c r="Q437" i="1" s="1"/>
  <c r="Q436" i="1" a="1"/>
  <c r="Q436" i="1" s="1"/>
  <c r="Q435" i="1" a="1"/>
  <c r="Q435" i="1" s="1"/>
  <c r="Q434" i="1" a="1"/>
  <c r="Q434" i="1"/>
  <c r="Q433" i="1" a="1"/>
  <c r="Q433" i="1"/>
  <c r="Q432" i="1" a="1"/>
  <c r="Q432" i="1" s="1"/>
  <c r="Q431" i="1" a="1"/>
  <c r="Q431" i="1"/>
  <c r="Q430" i="1" a="1"/>
  <c r="Q430" i="1"/>
  <c r="Q429" i="1" a="1"/>
  <c r="Q429" i="1" s="1"/>
  <c r="Q428" i="1" a="1"/>
  <c r="Q428" i="1" s="1"/>
  <c r="Q427" i="1" a="1"/>
  <c r="Q427" i="1"/>
  <c r="Q426" i="1" a="1"/>
  <c r="Q426" i="1" s="1"/>
  <c r="Q425" i="1" a="1"/>
  <c r="Q425" i="1"/>
  <c r="Q424" i="1" a="1"/>
  <c r="Q424" i="1" s="1"/>
  <c r="Q423" i="1" a="1"/>
  <c r="Q423" i="1" s="1"/>
  <c r="Q422" i="1" a="1"/>
  <c r="Q422" i="1"/>
  <c r="Q421" i="1" a="1"/>
  <c r="Q421" i="1"/>
  <c r="Q420" i="1" a="1"/>
  <c r="Q420" i="1" s="1"/>
  <c r="Q419" i="1" a="1"/>
  <c r="Q419" i="1"/>
  <c r="Q418" i="1" a="1"/>
  <c r="Q418" i="1"/>
  <c r="Q417" i="1" a="1"/>
  <c r="Q417" i="1" s="1"/>
  <c r="Q416" i="1" a="1"/>
  <c r="Q416" i="1" s="1"/>
  <c r="Q415" i="1" a="1"/>
  <c r="Q415" i="1" s="1"/>
  <c r="Q414" i="1" a="1"/>
  <c r="Q414" i="1" s="1"/>
  <c r="Q413" i="1" a="1"/>
  <c r="Q413" i="1"/>
  <c r="Q412" i="1" a="1"/>
  <c r="Q412" i="1" s="1"/>
  <c r="Q411" i="1" a="1"/>
  <c r="Q411" i="1"/>
  <c r="Q410" i="1" a="1"/>
  <c r="Q410" i="1"/>
  <c r="Q409" i="1" a="1"/>
  <c r="Q409" i="1"/>
  <c r="Q408" i="1" a="1"/>
  <c r="Q408" i="1" s="1"/>
  <c r="Q407" i="1" a="1"/>
  <c r="Q407" i="1"/>
  <c r="Q406" i="1" a="1"/>
  <c r="Q406" i="1" s="1"/>
  <c r="Q405" i="1" a="1"/>
  <c r="Q405" i="1" s="1"/>
  <c r="Q404" i="1" a="1"/>
  <c r="Q404" i="1" s="1"/>
  <c r="Q403" i="1" a="1"/>
  <c r="Q403" i="1" s="1"/>
  <c r="Q402" i="1" a="1"/>
  <c r="Q402" i="1"/>
  <c r="Q401" i="1" a="1"/>
  <c r="Q401" i="1"/>
  <c r="Q400" i="1" a="1"/>
  <c r="Q400" i="1" s="1"/>
  <c r="Q399" i="1" a="1"/>
  <c r="Q399" i="1"/>
  <c r="Q398" i="1" a="1"/>
  <c r="Q398" i="1"/>
  <c r="Q397" i="1" a="1"/>
  <c r="Q397" i="1" s="1"/>
  <c r="Q396" i="1" a="1"/>
  <c r="Q396" i="1" s="1"/>
  <c r="Q395" i="1" a="1"/>
  <c r="Q395" i="1"/>
  <c r="Q394" i="1" a="1"/>
  <c r="Q394" i="1" s="1"/>
  <c r="Q393" i="1" a="1"/>
  <c r="Q393" i="1"/>
  <c r="Q392" i="1" a="1"/>
  <c r="Q392" i="1" s="1"/>
  <c r="Q391" i="1" a="1"/>
  <c r="Q391" i="1" s="1"/>
  <c r="Q390" i="1" a="1"/>
  <c r="Q390" i="1"/>
  <c r="Q389" i="1" a="1"/>
  <c r="Q389" i="1"/>
  <c r="Q388" i="1" a="1"/>
  <c r="Q388" i="1" s="1"/>
  <c r="Q387" i="1" a="1"/>
  <c r="Q387" i="1"/>
  <c r="Q386" i="1" a="1"/>
  <c r="Q386" i="1"/>
  <c r="Q385" i="1" a="1"/>
  <c r="Q385" i="1" s="1"/>
  <c r="Q384" i="1" a="1"/>
  <c r="Q384" i="1" s="1"/>
  <c r="Q383" i="1" a="1"/>
  <c r="Q383" i="1" s="1"/>
  <c r="Q382" i="1" a="1"/>
  <c r="Q382" i="1" s="1"/>
  <c r="Q381" i="1" a="1"/>
  <c r="Q381" i="1"/>
  <c r="Q380" i="1" a="1"/>
  <c r="Q380" i="1" s="1"/>
  <c r="Q379" i="1" a="1"/>
  <c r="Q379" i="1"/>
  <c r="Q378" i="1" a="1"/>
  <c r="Q378" i="1"/>
  <c r="Q377" i="1" a="1"/>
  <c r="Q377" i="1"/>
  <c r="Q376" i="1" a="1"/>
  <c r="Q376" i="1" s="1"/>
  <c r="Q375" i="1" a="1"/>
  <c r="Q375" i="1"/>
  <c r="Q374" i="1" a="1"/>
  <c r="Q374" i="1" s="1"/>
  <c r="Q373" i="1" a="1"/>
  <c r="Q373" i="1" s="1"/>
  <c r="Q372" i="1" a="1"/>
  <c r="Q372" i="1" s="1"/>
  <c r="Q371" i="1" a="1"/>
  <c r="Q371" i="1" s="1"/>
  <c r="Q370" i="1" a="1"/>
  <c r="Q370" i="1"/>
  <c r="Q369" i="1" a="1"/>
  <c r="Q369" i="1"/>
  <c r="Q368" i="1" a="1"/>
  <c r="Q368" i="1" s="1"/>
  <c r="Q367" i="1" a="1"/>
  <c r="Q367" i="1"/>
  <c r="Q366" i="1" a="1"/>
  <c r="Q366" i="1"/>
  <c r="Q365" i="1" a="1"/>
  <c r="Q365" i="1" s="1"/>
  <c r="Q364" i="1" a="1"/>
  <c r="Q364" i="1" s="1"/>
  <c r="Q363" i="1" a="1"/>
  <c r="Q363" i="1"/>
  <c r="Q362" i="1" a="1"/>
  <c r="Q362" i="1" s="1"/>
  <c r="Q361" i="1" a="1"/>
  <c r="Q361" i="1"/>
  <c r="Q360" i="1" a="1"/>
  <c r="Q360" i="1" s="1"/>
  <c r="Q359" i="1" a="1"/>
  <c r="Q359" i="1" s="1"/>
  <c r="Q358" i="1" a="1"/>
  <c r="Q358" i="1"/>
  <c r="Q357" i="1" a="1"/>
  <c r="Q357" i="1"/>
  <c r="Q356" i="1" a="1"/>
  <c r="Q356" i="1" s="1"/>
  <c r="Q355" i="1" a="1"/>
  <c r="Q355" i="1"/>
  <c r="Q354" i="1" a="1"/>
  <c r="Q354" i="1"/>
  <c r="Q353" i="1" a="1"/>
  <c r="Q353" i="1" s="1"/>
  <c r="Q352" i="1" a="1"/>
  <c r="Q352" i="1" s="1"/>
  <c r="Q351" i="1" a="1"/>
  <c r="Q351" i="1" s="1"/>
  <c r="Q350" i="1" a="1"/>
  <c r="Q350" i="1" s="1"/>
  <c r="Q349" i="1" a="1"/>
  <c r="Q349" i="1"/>
  <c r="Q348" i="1" a="1"/>
  <c r="Q348" i="1" s="1"/>
  <c r="Q347" i="1" a="1"/>
  <c r="Q347" i="1"/>
  <c r="Q346" i="1" a="1"/>
  <c r="Q346" i="1" s="1"/>
  <c r="Q345" i="1" a="1"/>
  <c r="Q345" i="1" s="1"/>
  <c r="Q344" i="1" a="1"/>
  <c r="Q344" i="1"/>
  <c r="Q343" i="1" a="1"/>
  <c r="Q343" i="1"/>
  <c r="Q342" i="1" a="1"/>
  <c r="Q342" i="1" s="1"/>
  <c r="Q341" i="1" a="1"/>
  <c r="Q341" i="1" s="1"/>
  <c r="Q340" i="1" a="1"/>
  <c r="Q340" i="1" s="1"/>
  <c r="Q339" i="1" a="1"/>
  <c r="Q339" i="1"/>
  <c r="Q338" i="1" a="1"/>
  <c r="Q338" i="1" s="1"/>
  <c r="Q337" i="1" a="1"/>
  <c r="Q337" i="1"/>
  <c r="Q336" i="1" a="1"/>
  <c r="Q336" i="1"/>
  <c r="Q335" i="1" a="1"/>
  <c r="Q335" i="1"/>
  <c r="Q334" i="1" a="1"/>
  <c r="Q334" i="1" s="1"/>
  <c r="Q333" i="1" a="1"/>
  <c r="Q333" i="1" s="1"/>
  <c r="Q332" i="1" a="1"/>
  <c r="Q332" i="1" s="1"/>
  <c r="Q331" i="1" a="1"/>
  <c r="Q331" i="1" s="1"/>
  <c r="Q330" i="1" a="1"/>
  <c r="Q330" i="1" s="1"/>
  <c r="Q329" i="1" a="1"/>
  <c r="Q329" i="1" s="1"/>
  <c r="Q328" i="1" a="1"/>
  <c r="Q328" i="1" s="1"/>
  <c r="Q327" i="1" a="1"/>
  <c r="Q327" i="1" s="1"/>
  <c r="Q326" i="1" a="1"/>
  <c r="Q326" i="1" s="1"/>
  <c r="Q325" i="1" a="1"/>
  <c r="Q325" i="1"/>
  <c r="Q324" i="1" a="1"/>
  <c r="Q324" i="1"/>
  <c r="Q323" i="1" a="1"/>
  <c r="Q323" i="1" s="1"/>
  <c r="Q322" i="1" a="1"/>
  <c r="Q322" i="1" s="1"/>
  <c r="Q321" i="1" a="1"/>
  <c r="Q321" i="1" s="1"/>
  <c r="Q320" i="1" a="1"/>
  <c r="Q320" i="1"/>
  <c r="Q319" i="1" a="1"/>
  <c r="Q319" i="1" s="1"/>
  <c r="Q318" i="1" a="1"/>
  <c r="Q318" i="1" s="1"/>
  <c r="Q317" i="1" a="1"/>
  <c r="Q317" i="1" s="1"/>
  <c r="Q316" i="1" a="1"/>
  <c r="Q316" i="1" s="1"/>
  <c r="Q315" i="1" a="1"/>
  <c r="Q315" i="1" s="1"/>
  <c r="Q314" i="1" a="1"/>
  <c r="Q314" i="1" s="1"/>
  <c r="Q313" i="1" a="1"/>
  <c r="Q313" i="1"/>
  <c r="Q312" i="1" a="1"/>
  <c r="Q312" i="1" s="1"/>
  <c r="Q311" i="1" a="1"/>
  <c r="Q311" i="1" s="1"/>
  <c r="Q310" i="1" a="1"/>
  <c r="Q310" i="1" s="1"/>
  <c r="Q309" i="1" a="1"/>
  <c r="Q309" i="1"/>
  <c r="Q308" i="1" a="1"/>
  <c r="Q308" i="1" s="1"/>
  <c r="Q307" i="1" a="1"/>
  <c r="Q307" i="1" s="1"/>
  <c r="Q306" i="1" a="1"/>
  <c r="Q306" i="1" s="1"/>
  <c r="Q305" i="1" a="1"/>
  <c r="Q305" i="1" s="1"/>
  <c r="Q304" i="1" a="1"/>
  <c r="Q304" i="1" s="1"/>
  <c r="Q303" i="1" a="1"/>
  <c r="Q303" i="1" s="1"/>
  <c r="Q302" i="1" a="1"/>
  <c r="Q302" i="1" s="1"/>
  <c r="Q301" i="1" a="1"/>
  <c r="Q301" i="1" s="1"/>
  <c r="Q300" i="1" a="1"/>
  <c r="Q300" i="1" s="1"/>
  <c r="Q299" i="1" a="1"/>
  <c r="Q299" i="1" s="1"/>
  <c r="Q298" i="1" a="1"/>
  <c r="Q298" i="1" s="1"/>
  <c r="Q297" i="1" a="1"/>
  <c r="Q297" i="1" s="1"/>
  <c r="Q296" i="1" a="1"/>
  <c r="Q296" i="1" s="1"/>
  <c r="Q295" i="1" a="1"/>
  <c r="Q295" i="1" s="1"/>
  <c r="Q294" i="1" a="1"/>
  <c r="Q294" i="1" s="1"/>
  <c r="Q293" i="1" a="1"/>
  <c r="Q293" i="1"/>
  <c r="Q292" i="1" a="1"/>
  <c r="Q292" i="1" s="1"/>
  <c r="Q291" i="1" a="1"/>
  <c r="Q291" i="1" s="1"/>
  <c r="Q290" i="1" a="1"/>
  <c r="Q290" i="1" s="1"/>
  <c r="Q289" i="1" a="1"/>
  <c r="Q289" i="1" s="1"/>
  <c r="Q288" i="1" a="1"/>
  <c r="Q288" i="1"/>
  <c r="Q287" i="1" a="1"/>
  <c r="Q287" i="1" s="1"/>
  <c r="Q286" i="1" a="1"/>
  <c r="Q286" i="1" s="1"/>
  <c r="Q285" i="1" a="1"/>
  <c r="Q285" i="1" s="1"/>
  <c r="Q284" i="1" a="1"/>
  <c r="Q284" i="1" s="1"/>
  <c r="Q283" i="1" a="1"/>
  <c r="Q283" i="1" s="1"/>
  <c r="Q282" i="1" a="1"/>
  <c r="Q282" i="1" s="1"/>
  <c r="Q281" i="1" a="1"/>
  <c r="Q281" i="1"/>
  <c r="Q280" i="1" a="1"/>
  <c r="Q280" i="1" s="1"/>
  <c r="Q279" i="1" a="1"/>
  <c r="Q279" i="1" s="1"/>
  <c r="Q278" i="1" a="1"/>
  <c r="Q278" i="1" s="1"/>
  <c r="Q277" i="1" a="1"/>
  <c r="Q277" i="1"/>
  <c r="Q276" i="1" a="1"/>
  <c r="Q276" i="1" s="1"/>
  <c r="Q275" i="1" a="1"/>
  <c r="Q275" i="1" s="1"/>
  <c r="Q274" i="1" a="1"/>
  <c r="Q274" i="1" s="1"/>
  <c r="Q273" i="1" a="1"/>
  <c r="Q273" i="1" s="1"/>
  <c r="Q272" i="1" a="1"/>
  <c r="Q272" i="1" s="1"/>
  <c r="Q271" i="1" a="1"/>
  <c r="Q271" i="1" s="1"/>
  <c r="Q270" i="1" a="1"/>
  <c r="Q270" i="1" s="1"/>
  <c r="Q269" i="1" a="1"/>
  <c r="Q269" i="1" s="1"/>
  <c r="Q268" i="1" a="1"/>
  <c r="Q268" i="1" s="1"/>
  <c r="Q267" i="1" a="1"/>
  <c r="Q267" i="1" s="1"/>
  <c r="Q266" i="1" a="1"/>
  <c r="Q266" i="1" s="1"/>
  <c r="Q265" i="1" a="1"/>
  <c r="Q265" i="1" s="1"/>
  <c r="Q264" i="1" a="1"/>
  <c r="Q264" i="1" s="1"/>
  <c r="Q263" i="1" a="1"/>
  <c r="Q263" i="1" s="1"/>
  <c r="Q262" i="1" a="1"/>
  <c r="Q262" i="1" s="1"/>
  <c r="Q261" i="1" a="1"/>
  <c r="Q261" i="1"/>
  <c r="Q260" i="1" a="1"/>
  <c r="Q260" i="1" s="1"/>
  <c r="Q259" i="1" a="1"/>
  <c r="Q259" i="1" s="1"/>
  <c r="Q258" i="1" a="1"/>
  <c r="Q258" i="1" s="1"/>
  <c r="Q257" i="1" a="1"/>
  <c r="Q257" i="1" s="1"/>
  <c r="Q256" i="1" a="1"/>
  <c r="Q256" i="1"/>
  <c r="Q255" i="1" a="1"/>
  <c r="Q255" i="1" s="1"/>
  <c r="Q254" i="1" a="1"/>
  <c r="Q254" i="1" s="1"/>
  <c r="Q253" i="1" a="1"/>
  <c r="Q253" i="1" s="1"/>
  <c r="Q252" i="1" a="1"/>
  <c r="Q252" i="1" s="1"/>
  <c r="Q251" i="1" a="1"/>
  <c r="Q251" i="1" s="1"/>
  <c r="Q250" i="1" a="1"/>
  <c r="Q250" i="1" s="1"/>
  <c r="Q249" i="1" a="1"/>
  <c r="Q249" i="1"/>
  <c r="Q248" i="1" a="1"/>
  <c r="Q248" i="1" s="1"/>
  <c r="Q247" i="1" a="1"/>
  <c r="Q247" i="1" s="1"/>
  <c r="Q246" i="1" a="1"/>
  <c r="Q246" i="1" s="1"/>
  <c r="Q245" i="1" a="1"/>
  <c r="Q245" i="1"/>
  <c r="Q244" i="1" a="1"/>
  <c r="Q244" i="1" s="1"/>
  <c r="Q243" i="1" a="1"/>
  <c r="Q243" i="1" s="1"/>
  <c r="Q242" i="1" a="1"/>
  <c r="Q242" i="1" s="1"/>
  <c r="Q241" i="1" a="1"/>
  <c r="Q241" i="1" s="1"/>
  <c r="Q240" i="1" a="1"/>
  <c r="Q240" i="1" s="1"/>
  <c r="Q239" i="1" a="1"/>
  <c r="Q239" i="1" s="1"/>
  <c r="Q238" i="1" a="1"/>
  <c r="Q238" i="1" s="1"/>
  <c r="Q237" i="1" a="1"/>
  <c r="Q237" i="1" s="1"/>
  <c r="Q236" i="1" a="1"/>
  <c r="Q236" i="1" s="1"/>
  <c r="Q235" i="1" a="1"/>
  <c r="Q235" i="1" s="1"/>
  <c r="Q234" i="1" a="1"/>
  <c r="Q234" i="1" s="1"/>
  <c r="Q233" i="1" a="1"/>
  <c r="Q233" i="1" s="1"/>
  <c r="Q232" i="1" a="1"/>
  <c r="Q232" i="1" s="1"/>
  <c r="Q231" i="1" a="1"/>
  <c r="Q231" i="1" s="1"/>
  <c r="Q230" i="1" a="1"/>
  <c r="Q230" i="1" s="1"/>
  <c r="Q229" i="1" a="1"/>
  <c r="Q229" i="1"/>
  <c r="Q228" i="1" a="1"/>
  <c r="Q228" i="1" s="1"/>
  <c r="Q227" i="1" a="1"/>
  <c r="Q227" i="1" s="1"/>
  <c r="Q226" i="1" a="1"/>
  <c r="Q226" i="1" s="1"/>
  <c r="Q225" i="1" a="1"/>
  <c r="Q225" i="1" s="1"/>
  <c r="Q224" i="1" a="1"/>
  <c r="Q224" i="1"/>
  <c r="Q223" i="1" a="1"/>
  <c r="Q223" i="1" s="1"/>
  <c r="Q222" i="1" a="1"/>
  <c r="Q222" i="1" s="1"/>
  <c r="Q221" i="1" a="1"/>
  <c r="Q221" i="1" s="1"/>
  <c r="Q220" i="1" a="1"/>
  <c r="Q220" i="1" s="1"/>
  <c r="Q219" i="1" a="1"/>
  <c r="Q219" i="1" s="1"/>
  <c r="Q218" i="1" a="1"/>
  <c r="Q218" i="1" s="1"/>
  <c r="Q217" i="1" a="1"/>
  <c r="Q217" i="1"/>
  <c r="Q216" i="1" a="1"/>
  <c r="Q216" i="1" s="1"/>
  <c r="Q215" i="1" a="1"/>
  <c r="Q215" i="1" s="1"/>
  <c r="Q214" i="1" a="1"/>
  <c r="Q214" i="1" s="1"/>
  <c r="Q213" i="1" a="1"/>
  <c r="Q213" i="1"/>
  <c r="Q212" i="1" a="1"/>
  <c r="Q212" i="1" s="1"/>
  <c r="Q211" i="1" a="1"/>
  <c r="Q211" i="1" s="1"/>
  <c r="Q210" i="1" a="1"/>
  <c r="Q210" i="1" s="1"/>
  <c r="Q209" i="1" a="1"/>
  <c r="Q209" i="1" s="1"/>
  <c r="Q208" i="1" a="1"/>
  <c r="Q208" i="1" s="1"/>
  <c r="Q207" i="1" a="1"/>
  <c r="Q207" i="1" s="1"/>
  <c r="Q206" i="1" a="1"/>
  <c r="Q206" i="1" s="1"/>
  <c r="Q205" i="1" a="1"/>
  <c r="Q205" i="1" s="1"/>
  <c r="Q204" i="1" a="1"/>
  <c r="Q204" i="1" s="1"/>
  <c r="Q203" i="1" a="1"/>
  <c r="Q203" i="1" s="1"/>
  <c r="Q202" i="1" a="1"/>
  <c r="Q202" i="1" s="1"/>
  <c r="Q201" i="1" a="1"/>
  <c r="Q201" i="1" s="1"/>
  <c r="Q200" i="1" a="1"/>
  <c r="Q200" i="1" s="1"/>
  <c r="Q199" i="1" a="1"/>
  <c r="Q199" i="1" s="1"/>
  <c r="Q198" i="1" a="1"/>
  <c r="Q198" i="1" s="1"/>
  <c r="Q197" i="1" a="1"/>
  <c r="Q197" i="1"/>
  <c r="Q196" i="1" a="1"/>
  <c r="Q196" i="1" s="1"/>
  <c r="Q195" i="1" a="1"/>
  <c r="Q195" i="1" s="1"/>
  <c r="Q194" i="1" a="1"/>
  <c r="Q194" i="1" s="1"/>
  <c r="Q193" i="1" a="1"/>
  <c r="Q193" i="1" s="1"/>
  <c r="Q192" i="1" a="1"/>
  <c r="Q192" i="1"/>
  <c r="Q191" i="1" a="1"/>
  <c r="Q191" i="1" s="1"/>
  <c r="Q190" i="1" a="1"/>
  <c r="Q190" i="1" s="1"/>
  <c r="Q189" i="1" a="1"/>
  <c r="Q189" i="1" s="1"/>
  <c r="Q188" i="1" a="1"/>
  <c r="Q188" i="1" s="1"/>
  <c r="Q187" i="1" a="1"/>
  <c r="Q187" i="1" s="1"/>
  <c r="Q186" i="1" a="1"/>
  <c r="Q186" i="1" s="1"/>
  <c r="Q185" i="1" a="1"/>
  <c r="Q185" i="1"/>
  <c r="Q184" i="1" a="1"/>
  <c r="Q184" i="1" s="1"/>
  <c r="Q183" i="1" a="1"/>
  <c r="Q183" i="1" s="1"/>
  <c r="Q182" i="1" a="1"/>
  <c r="Q182" i="1" s="1"/>
  <c r="Q181" i="1" a="1"/>
  <c r="Q181" i="1"/>
  <c r="Q180" i="1" a="1"/>
  <c r="Q180" i="1" s="1"/>
  <c r="Q179" i="1" a="1"/>
  <c r="Q179" i="1" s="1"/>
  <c r="Q178" i="1" a="1"/>
  <c r="Q178" i="1" s="1"/>
  <c r="Q177" i="1" a="1"/>
  <c r="Q177" i="1" s="1"/>
  <c r="Q176" i="1" a="1"/>
  <c r="Q176" i="1" s="1"/>
  <c r="Q175" i="1" a="1"/>
  <c r="Q175" i="1" s="1"/>
  <c r="Q174" i="1" a="1"/>
  <c r="Q174" i="1" s="1"/>
  <c r="Q173" i="1" a="1"/>
  <c r="Q173" i="1" s="1"/>
  <c r="Q172" i="1" a="1"/>
  <c r="Q172" i="1" s="1"/>
  <c r="Q171" i="1" a="1"/>
  <c r="Q171" i="1" s="1"/>
  <c r="Q170" i="1" a="1"/>
  <c r="Q170" i="1" s="1"/>
  <c r="Q169" i="1" a="1"/>
  <c r="Q169" i="1" s="1"/>
  <c r="Q168" i="1" a="1"/>
  <c r="Q168" i="1" s="1"/>
  <c r="Q167" i="1" a="1"/>
  <c r="Q167" i="1" s="1"/>
  <c r="Q166" i="1" a="1"/>
  <c r="Q166" i="1" s="1"/>
  <c r="Q165" i="1" a="1"/>
  <c r="Q165" i="1"/>
  <c r="Q164" i="1" a="1"/>
  <c r="Q164" i="1" s="1"/>
  <c r="Q163" i="1" a="1"/>
  <c r="Q163" i="1" s="1"/>
  <c r="Q162" i="1" a="1"/>
  <c r="Q162" i="1" s="1"/>
  <c r="Q161" i="1" a="1"/>
  <c r="Q161" i="1" s="1"/>
  <c r="Q160" i="1" a="1"/>
  <c r="Q160" i="1"/>
  <c r="Q159" i="1" a="1"/>
  <c r="Q159" i="1" s="1"/>
  <c r="Q158" i="1" a="1"/>
  <c r="Q158" i="1" s="1"/>
  <c r="Q157" i="1" a="1"/>
  <c r="Q157" i="1" s="1"/>
  <c r="Q156" i="1" a="1"/>
  <c r="Q156" i="1" s="1"/>
  <c r="Q155" i="1" a="1"/>
  <c r="Q155" i="1" s="1"/>
  <c r="Q154" i="1" a="1"/>
  <c r="Q154" i="1" s="1"/>
  <c r="Q153" i="1" a="1"/>
  <c r="Q153" i="1"/>
  <c r="Q152" i="1" a="1"/>
  <c r="Q152" i="1" s="1"/>
  <c r="Q151" i="1" a="1"/>
  <c r="Q151" i="1" s="1"/>
  <c r="Q150" i="1" a="1"/>
  <c r="Q150" i="1" s="1"/>
  <c r="Q149" i="1" a="1"/>
  <c r="Q149" i="1"/>
  <c r="Q148" i="1" a="1"/>
  <c r="Q148" i="1" s="1"/>
  <c r="Q147" i="1" a="1"/>
  <c r="Q147" i="1" s="1"/>
  <c r="Q146" i="1" a="1"/>
  <c r="Q146" i="1" s="1"/>
  <c r="Q145" i="1" a="1"/>
  <c r="Q145" i="1" s="1"/>
  <c r="Q144" i="1" a="1"/>
  <c r="Q144" i="1" s="1"/>
  <c r="Q143" i="1" a="1"/>
  <c r="Q143" i="1" s="1"/>
  <c r="Q142" i="1" a="1"/>
  <c r="Q142" i="1" s="1"/>
  <c r="Q141" i="1" a="1"/>
  <c r="Q141" i="1" s="1"/>
  <c r="Q140" i="1" a="1"/>
  <c r="Q140" i="1" s="1"/>
  <c r="Q139" i="1" a="1"/>
  <c r="Q139" i="1" s="1"/>
  <c r="Q138" i="1" a="1"/>
  <c r="Q138" i="1" s="1"/>
  <c r="Q137" i="1" a="1"/>
  <c r="Q137" i="1" s="1"/>
  <c r="Q136" i="1" a="1"/>
  <c r="Q136" i="1" s="1"/>
  <c r="Q135" i="1" a="1"/>
  <c r="Q135" i="1" s="1"/>
  <c r="Q134" i="1" a="1"/>
  <c r="Q134" i="1" s="1"/>
  <c r="Q133" i="1" a="1"/>
  <c r="Q133" i="1"/>
  <c r="Q132" i="1" a="1"/>
  <c r="Q132" i="1" s="1"/>
  <c r="Q131" i="1" a="1"/>
  <c r="Q131" i="1" s="1"/>
  <c r="Q130" i="1" a="1"/>
  <c r="Q130" i="1" s="1"/>
  <c r="Q129" i="1" a="1"/>
  <c r="Q129" i="1" s="1"/>
  <c r="Q128" i="1" a="1"/>
  <c r="Q128" i="1"/>
  <c r="Q127" i="1" a="1"/>
  <c r="Q127" i="1" s="1"/>
  <c r="Q126" i="1" a="1"/>
  <c r="Q126" i="1" s="1"/>
  <c r="Q125" i="1" a="1"/>
  <c r="Q125" i="1" s="1"/>
  <c r="Q124" i="1" a="1"/>
  <c r="Q124" i="1" s="1"/>
  <c r="Q123" i="1" a="1"/>
  <c r="Q123" i="1" s="1"/>
  <c r="Q122" i="1" a="1"/>
  <c r="Q122" i="1" s="1"/>
  <c r="Q121" i="1" a="1"/>
  <c r="Q121" i="1"/>
  <c r="Q120" i="1" a="1"/>
  <c r="Q120" i="1" s="1"/>
  <c r="Q119" i="1" a="1"/>
  <c r="Q119" i="1" s="1"/>
  <c r="Q118" i="1" a="1"/>
  <c r="Q118" i="1" s="1"/>
  <c r="Q117" i="1" a="1"/>
  <c r="Q117" i="1"/>
  <c r="Q116" i="1" a="1"/>
  <c r="Q116" i="1" s="1"/>
  <c r="Q115" i="1" a="1"/>
  <c r="Q115" i="1" s="1"/>
  <c r="Q114" i="1" a="1"/>
  <c r="Q114" i="1" s="1"/>
  <c r="Q113" i="1" a="1"/>
  <c r="Q113" i="1" s="1"/>
  <c r="Q112" i="1" a="1"/>
  <c r="Q112" i="1" s="1"/>
  <c r="Q111" i="1" a="1"/>
  <c r="Q111" i="1" s="1"/>
  <c r="Q110" i="1" a="1"/>
  <c r="Q110" i="1" s="1"/>
  <c r="Q109" i="1" a="1"/>
  <c r="Q109" i="1" s="1"/>
  <c r="Q108" i="1" a="1"/>
  <c r="Q108" i="1" s="1"/>
  <c r="Q107" i="1" a="1"/>
  <c r="Q107" i="1" s="1"/>
  <c r="Q106" i="1" a="1"/>
  <c r="Q106" i="1" s="1"/>
  <c r="Q105" i="1" a="1"/>
  <c r="Q105" i="1" s="1"/>
  <c r="Q104" i="1" a="1"/>
  <c r="Q104" i="1" s="1"/>
  <c r="Q103" i="1" a="1"/>
  <c r="Q103" i="1" s="1"/>
  <c r="Q102" i="1" a="1"/>
  <c r="Q102" i="1" s="1"/>
  <c r="Q101" i="1" a="1"/>
  <c r="Q101" i="1"/>
  <c r="Q100" i="1" a="1"/>
  <c r="Q100" i="1" s="1"/>
  <c r="Q99" i="1" a="1"/>
  <c r="Q99" i="1" s="1"/>
  <c r="Q98" i="1" a="1"/>
  <c r="Q98" i="1" s="1"/>
  <c r="Q97" i="1" a="1"/>
  <c r="Q97" i="1" s="1"/>
  <c r="Q96" i="1" a="1"/>
  <c r="Q96" i="1"/>
  <c r="Q95" i="1" a="1"/>
  <c r="Q95" i="1" s="1"/>
  <c r="Q94" i="1" a="1"/>
  <c r="Q94" i="1" s="1"/>
  <c r="Q93" i="1" a="1"/>
  <c r="Q93" i="1" s="1"/>
  <c r="Q92" i="1" a="1"/>
  <c r="Q92" i="1" s="1"/>
  <c r="Q91" i="1" a="1"/>
  <c r="Q91" i="1" s="1"/>
  <c r="Q90" i="1" a="1"/>
  <c r="Q90" i="1" s="1"/>
  <c r="Q89" i="1" a="1"/>
  <c r="Q89" i="1"/>
  <c r="Q88" i="1" a="1"/>
  <c r="Q88" i="1" s="1"/>
  <c r="Q87" i="1" a="1"/>
  <c r="Q87" i="1" s="1"/>
  <c r="Q86" i="1" a="1"/>
  <c r="Q86" i="1" s="1"/>
  <c r="Q85" i="1" a="1"/>
  <c r="Q85" i="1"/>
  <c r="Q84" i="1" a="1"/>
  <c r="Q84" i="1" s="1"/>
  <c r="Q83" i="1" a="1"/>
  <c r="Q83" i="1" s="1"/>
  <c r="Q82" i="1" a="1"/>
  <c r="Q82" i="1" s="1"/>
  <c r="Q81" i="1" a="1"/>
  <c r="Q81" i="1" s="1"/>
  <c r="Q80" i="1" a="1"/>
  <c r="Q80" i="1" s="1"/>
  <c r="Q79" i="1" a="1"/>
  <c r="Q79" i="1" s="1"/>
  <c r="Q78" i="1" a="1"/>
  <c r="Q78" i="1" s="1"/>
  <c r="Q77" i="1" a="1"/>
  <c r="Q77" i="1" s="1"/>
  <c r="Q76" i="1" a="1"/>
  <c r="Q76" i="1" s="1"/>
  <c r="Q75" i="1" a="1"/>
  <c r="Q75" i="1" s="1"/>
  <c r="Q74" i="1" a="1"/>
  <c r="Q74" i="1" s="1"/>
  <c r="Q73" i="1" a="1"/>
  <c r="Q73" i="1" s="1"/>
  <c r="Q72" i="1" a="1"/>
  <c r="Q72" i="1" s="1"/>
  <c r="Q71" i="1" a="1"/>
  <c r="Q71" i="1" s="1"/>
  <c r="Q70" i="1" a="1"/>
  <c r="Q70" i="1" s="1"/>
  <c r="Q69" i="1" a="1"/>
  <c r="Q69" i="1"/>
  <c r="Q68" i="1" a="1"/>
  <c r="Q68" i="1" s="1"/>
  <c r="Q67" i="1" a="1"/>
  <c r="Q67" i="1" s="1"/>
  <c r="Q66" i="1" a="1"/>
  <c r="Q66" i="1" s="1"/>
  <c r="Q65" i="1" a="1"/>
  <c r="Q65" i="1" s="1"/>
  <c r="Q64" i="1" a="1"/>
  <c r="Q64" i="1"/>
  <c r="Q63" i="1" a="1"/>
  <c r="Q63" i="1" s="1"/>
  <c r="Q62" i="1" a="1"/>
  <c r="Q62" i="1" s="1"/>
  <c r="Q61" i="1" a="1"/>
  <c r="Q61" i="1" s="1"/>
  <c r="Q60" i="1" a="1"/>
  <c r="Q60" i="1" s="1"/>
  <c r="Q59" i="1" a="1"/>
  <c r="Q59" i="1" s="1"/>
  <c r="Q58" i="1" a="1"/>
  <c r="Q58" i="1" s="1"/>
  <c r="Q57" i="1" a="1"/>
  <c r="Q57" i="1"/>
  <c r="Q56" i="1" a="1"/>
  <c r="Q56" i="1" s="1"/>
  <c r="Q55" i="1" a="1"/>
  <c r="Q55" i="1" s="1"/>
  <c r="Q54" i="1" a="1"/>
  <c r="Q54" i="1" s="1"/>
  <c r="Q53" i="1" a="1"/>
  <c r="Q53" i="1"/>
  <c r="Q52" i="1" a="1"/>
  <c r="Q52" i="1" s="1"/>
  <c r="Q51" i="1" a="1"/>
  <c r="Q51" i="1" s="1"/>
  <c r="Q50" i="1" a="1"/>
  <c r="Q50" i="1" s="1"/>
  <c r="Q49" i="1" a="1"/>
  <c r="Q49" i="1" s="1"/>
  <c r="Q48" i="1" a="1"/>
  <c r="Q48" i="1" s="1"/>
  <c r="Q47" i="1" a="1"/>
  <c r="Q47" i="1" s="1"/>
  <c r="Q46" i="1" a="1"/>
  <c r="Q46" i="1" s="1"/>
  <c r="Q45" i="1" a="1"/>
  <c r="Q45" i="1" s="1"/>
  <c r="Q44" i="1" a="1"/>
  <c r="Q44" i="1" s="1"/>
  <c r="Q43" i="1" a="1"/>
  <c r="Q43" i="1" s="1"/>
  <c r="Q42" i="1" a="1"/>
  <c r="Q42" i="1" s="1"/>
  <c r="Q41" i="1" a="1"/>
  <c r="Q41" i="1" s="1"/>
  <c r="Q40" i="1" a="1"/>
  <c r="Q40" i="1" s="1"/>
  <c r="Q39" i="1" a="1"/>
  <c r="Q39" i="1" s="1"/>
  <c r="Q38" i="1" a="1"/>
  <c r="Q38" i="1" s="1"/>
  <c r="Q37" i="1" a="1"/>
  <c r="Q37" i="1"/>
  <c r="Q36" i="1" a="1"/>
  <c r="Q36" i="1" s="1"/>
  <c r="Q35" i="1" a="1"/>
  <c r="Q35" i="1" s="1"/>
  <c r="Q34" i="1" a="1"/>
  <c r="Q34" i="1" s="1"/>
  <c r="Q33" i="1" a="1"/>
  <c r="Q33" i="1" s="1"/>
  <c r="Q32" i="1" a="1"/>
  <c r="Q32" i="1"/>
  <c r="Q31" i="1" a="1"/>
  <c r="Q31" i="1" s="1"/>
  <c r="Q30" i="1" a="1"/>
  <c r="Q30" i="1" s="1"/>
  <c r="Q29" i="1" a="1"/>
  <c r="Q29" i="1" s="1"/>
  <c r="Q28" i="1" a="1"/>
  <c r="Q28" i="1" s="1"/>
  <c r="Q27" i="1" a="1"/>
  <c r="Q27" i="1" s="1"/>
  <c r="Q26" i="1" a="1"/>
  <c r="Q26" i="1" s="1"/>
  <c r="Q25" i="1" a="1"/>
  <c r="Q25" i="1"/>
  <c r="Q24" i="1" a="1"/>
  <c r="Q24" i="1" s="1"/>
  <c r="Q23" i="1" a="1"/>
  <c r="Q23" i="1" s="1"/>
  <c r="Q22" i="1" a="1"/>
  <c r="Q22" i="1" s="1"/>
  <c r="Q21" i="1" a="1"/>
  <c r="Q21" i="1"/>
  <c r="Q20" i="1" a="1"/>
  <c r="Q20" i="1" s="1"/>
  <c r="Q19" i="1" a="1"/>
  <c r="Q19" i="1"/>
  <c r="Q18" i="1" a="1"/>
  <c r="Q18" i="1" s="1"/>
  <c r="Q17" i="1" a="1"/>
  <c r="Q17" i="1" s="1"/>
  <c r="Q16" i="1" a="1"/>
  <c r="Q16" i="1"/>
  <c r="Q15" i="1" a="1"/>
  <c r="Q15" i="1" s="1"/>
  <c r="Q14" i="1" a="1"/>
  <c r="Q14" i="1" s="1"/>
  <c r="Q13" i="1" a="1"/>
  <c r="Q13" i="1"/>
  <c r="Q12" i="1" a="1"/>
  <c r="Q12" i="1" s="1"/>
  <c r="Q11" i="1" a="1"/>
  <c r="Q11" i="1" s="1"/>
  <c r="Q10" i="1" a="1"/>
  <c r="Q10" i="1"/>
  <c r="Q9" i="1" a="1"/>
  <c r="Q9" i="1"/>
  <c r="Q8" i="1" a="1"/>
  <c r="Q8" i="1" s="1"/>
  <c r="Q7" i="1" a="1"/>
  <c r="Q7" i="1" s="1"/>
  <c r="Q6" i="1" a="1"/>
  <c r="Q6" i="1"/>
  <c r="Q5" i="1" a="1"/>
  <c r="Q5" i="1" s="1"/>
  <c r="Q4" i="1" a="1"/>
  <c r="Q4" i="1" s="1"/>
  <c r="Q3" i="1" a="1"/>
  <c r="Q3" i="1" s="1"/>
  <c r="Q2" i="1" a="1"/>
  <c r="Q2" i="1" s="1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T1001" i="1"/>
  <c r="S1001" i="1"/>
  <c r="P1001" i="1"/>
  <c r="O1001" i="1"/>
  <c r="T1000" i="1"/>
  <c r="S1000" i="1"/>
  <c r="P1000" i="1"/>
  <c r="O1000" i="1"/>
  <c r="T999" i="1"/>
  <c r="S999" i="1"/>
  <c r="P999" i="1"/>
  <c r="O999" i="1"/>
  <c r="T998" i="1"/>
  <c r="S998" i="1"/>
  <c r="P998" i="1"/>
  <c r="O998" i="1"/>
  <c r="T997" i="1"/>
  <c r="S997" i="1"/>
  <c r="P997" i="1"/>
  <c r="O997" i="1"/>
  <c r="T996" i="1"/>
  <c r="S996" i="1"/>
  <c r="P996" i="1"/>
  <c r="O996" i="1"/>
  <c r="T995" i="1"/>
  <c r="S995" i="1"/>
  <c r="P995" i="1"/>
  <c r="O995" i="1"/>
  <c r="T994" i="1"/>
  <c r="S994" i="1"/>
  <c r="P994" i="1"/>
  <c r="O994" i="1"/>
  <c r="T993" i="1"/>
  <c r="S993" i="1"/>
  <c r="P993" i="1"/>
  <c r="O993" i="1"/>
  <c r="T992" i="1"/>
  <c r="S992" i="1"/>
  <c r="P992" i="1"/>
  <c r="O992" i="1"/>
  <c r="T991" i="1"/>
  <c r="S991" i="1"/>
  <c r="P991" i="1"/>
  <c r="O991" i="1"/>
  <c r="T990" i="1"/>
  <c r="S990" i="1"/>
  <c r="P990" i="1"/>
  <c r="O990" i="1"/>
  <c r="T989" i="1"/>
  <c r="S989" i="1"/>
  <c r="P989" i="1"/>
  <c r="O989" i="1"/>
  <c r="T988" i="1"/>
  <c r="S988" i="1"/>
  <c r="P988" i="1"/>
  <c r="O988" i="1"/>
  <c r="T987" i="1"/>
  <c r="S987" i="1"/>
  <c r="P987" i="1"/>
  <c r="O987" i="1"/>
  <c r="T986" i="1"/>
  <c r="S986" i="1"/>
  <c r="P986" i="1"/>
  <c r="O986" i="1"/>
  <c r="T985" i="1"/>
  <c r="S985" i="1"/>
  <c r="P985" i="1"/>
  <c r="O985" i="1"/>
  <c r="T984" i="1"/>
  <c r="S984" i="1"/>
  <c r="P984" i="1"/>
  <c r="O984" i="1"/>
  <c r="T983" i="1"/>
  <c r="S983" i="1"/>
  <c r="P983" i="1"/>
  <c r="O983" i="1"/>
  <c r="T982" i="1"/>
  <c r="S982" i="1"/>
  <c r="P982" i="1"/>
  <c r="O982" i="1"/>
  <c r="T981" i="1"/>
  <c r="S981" i="1"/>
  <c r="P981" i="1"/>
  <c r="O981" i="1"/>
  <c r="T980" i="1"/>
  <c r="S980" i="1"/>
  <c r="P980" i="1"/>
  <c r="O980" i="1"/>
  <c r="T979" i="1"/>
  <c r="S979" i="1"/>
  <c r="P979" i="1"/>
  <c r="O979" i="1"/>
  <c r="T978" i="1"/>
  <c r="S978" i="1"/>
  <c r="P978" i="1"/>
  <c r="O978" i="1"/>
  <c r="T977" i="1"/>
  <c r="S977" i="1"/>
  <c r="P977" i="1"/>
  <c r="O977" i="1"/>
  <c r="T976" i="1"/>
  <c r="S976" i="1"/>
  <c r="P976" i="1"/>
  <c r="O976" i="1"/>
  <c r="T975" i="1"/>
  <c r="S975" i="1"/>
  <c r="P975" i="1"/>
  <c r="O975" i="1"/>
  <c r="T974" i="1"/>
  <c r="S974" i="1"/>
  <c r="P974" i="1"/>
  <c r="O974" i="1"/>
  <c r="T973" i="1"/>
  <c r="S973" i="1"/>
  <c r="P973" i="1"/>
  <c r="O973" i="1"/>
  <c r="T972" i="1"/>
  <c r="S972" i="1"/>
  <c r="P972" i="1"/>
  <c r="O972" i="1"/>
  <c r="T971" i="1"/>
  <c r="S971" i="1"/>
  <c r="P971" i="1"/>
  <c r="O971" i="1"/>
  <c r="T970" i="1"/>
  <c r="S970" i="1"/>
  <c r="P970" i="1"/>
  <c r="O970" i="1"/>
  <c r="T969" i="1"/>
  <c r="S969" i="1"/>
  <c r="P969" i="1"/>
  <c r="O969" i="1"/>
  <c r="T968" i="1"/>
  <c r="S968" i="1"/>
  <c r="P968" i="1"/>
  <c r="O968" i="1"/>
  <c r="T967" i="1"/>
  <c r="S967" i="1"/>
  <c r="P967" i="1"/>
  <c r="O967" i="1"/>
  <c r="T966" i="1"/>
  <c r="S966" i="1"/>
  <c r="P966" i="1"/>
  <c r="O966" i="1"/>
  <c r="T965" i="1"/>
  <c r="S965" i="1"/>
  <c r="P965" i="1"/>
  <c r="O965" i="1"/>
  <c r="T964" i="1"/>
  <c r="S964" i="1"/>
  <c r="P964" i="1"/>
  <c r="O964" i="1"/>
  <c r="T963" i="1"/>
  <c r="S963" i="1"/>
  <c r="P963" i="1"/>
  <c r="O963" i="1"/>
  <c r="T962" i="1"/>
  <c r="S962" i="1"/>
  <c r="P962" i="1"/>
  <c r="O962" i="1"/>
  <c r="T961" i="1"/>
  <c r="S961" i="1"/>
  <c r="P961" i="1"/>
  <c r="O961" i="1"/>
  <c r="T960" i="1"/>
  <c r="S960" i="1"/>
  <c r="P960" i="1"/>
  <c r="O960" i="1"/>
  <c r="T959" i="1"/>
  <c r="S959" i="1"/>
  <c r="P959" i="1"/>
  <c r="O959" i="1"/>
  <c r="T958" i="1"/>
  <c r="S958" i="1"/>
  <c r="P958" i="1"/>
  <c r="O958" i="1"/>
  <c r="T957" i="1"/>
  <c r="S957" i="1"/>
  <c r="P957" i="1"/>
  <c r="O957" i="1"/>
  <c r="T956" i="1"/>
  <c r="S956" i="1"/>
  <c r="P956" i="1"/>
  <c r="O956" i="1"/>
  <c r="T955" i="1"/>
  <c r="S955" i="1"/>
  <c r="P955" i="1"/>
  <c r="O955" i="1"/>
  <c r="T954" i="1"/>
  <c r="S954" i="1"/>
  <c r="P954" i="1"/>
  <c r="O954" i="1"/>
  <c r="T953" i="1"/>
  <c r="S953" i="1"/>
  <c r="P953" i="1"/>
  <c r="O953" i="1"/>
  <c r="T952" i="1"/>
  <c r="S952" i="1"/>
  <c r="P952" i="1"/>
  <c r="O952" i="1"/>
  <c r="T951" i="1"/>
  <c r="S951" i="1"/>
  <c r="P951" i="1"/>
  <c r="O951" i="1"/>
  <c r="T950" i="1"/>
  <c r="S950" i="1"/>
  <c r="P950" i="1"/>
  <c r="O950" i="1"/>
  <c r="T949" i="1"/>
  <c r="S949" i="1"/>
  <c r="P949" i="1"/>
  <c r="O949" i="1"/>
  <c r="T948" i="1"/>
  <c r="S948" i="1"/>
  <c r="P948" i="1"/>
  <c r="O948" i="1"/>
  <c r="T947" i="1"/>
  <c r="S947" i="1"/>
  <c r="P947" i="1"/>
  <c r="O947" i="1"/>
  <c r="T946" i="1"/>
  <c r="S946" i="1"/>
  <c r="P946" i="1"/>
  <c r="O946" i="1"/>
  <c r="T945" i="1"/>
  <c r="S945" i="1"/>
  <c r="P945" i="1"/>
  <c r="O945" i="1"/>
  <c r="T944" i="1"/>
  <c r="S944" i="1"/>
  <c r="P944" i="1"/>
  <c r="O944" i="1"/>
  <c r="T943" i="1"/>
  <c r="S943" i="1"/>
  <c r="P943" i="1"/>
  <c r="O943" i="1"/>
  <c r="T942" i="1"/>
  <c r="S942" i="1"/>
  <c r="P942" i="1"/>
  <c r="O942" i="1"/>
  <c r="T941" i="1"/>
  <c r="S941" i="1"/>
  <c r="P941" i="1"/>
  <c r="O941" i="1"/>
  <c r="T940" i="1"/>
  <c r="S940" i="1"/>
  <c r="P940" i="1"/>
  <c r="O940" i="1"/>
  <c r="T939" i="1"/>
  <c r="S939" i="1"/>
  <c r="P939" i="1"/>
  <c r="O939" i="1"/>
  <c r="T938" i="1"/>
  <c r="S938" i="1"/>
  <c r="P938" i="1"/>
  <c r="O938" i="1"/>
  <c r="T937" i="1"/>
  <c r="S937" i="1"/>
  <c r="P937" i="1"/>
  <c r="O937" i="1"/>
  <c r="T936" i="1"/>
  <c r="S936" i="1"/>
  <c r="P936" i="1"/>
  <c r="O936" i="1"/>
  <c r="T935" i="1"/>
  <c r="S935" i="1"/>
  <c r="P935" i="1"/>
  <c r="O935" i="1"/>
  <c r="T934" i="1"/>
  <c r="S934" i="1"/>
  <c r="P934" i="1"/>
  <c r="O934" i="1"/>
  <c r="T933" i="1"/>
  <c r="S933" i="1"/>
  <c r="P933" i="1"/>
  <c r="O933" i="1"/>
  <c r="T932" i="1"/>
  <c r="S932" i="1"/>
  <c r="P932" i="1"/>
  <c r="O932" i="1"/>
  <c r="T931" i="1"/>
  <c r="S931" i="1"/>
  <c r="P931" i="1"/>
  <c r="O931" i="1"/>
  <c r="T930" i="1"/>
  <c r="S930" i="1"/>
  <c r="P930" i="1"/>
  <c r="O930" i="1"/>
  <c r="T929" i="1"/>
  <c r="S929" i="1"/>
  <c r="P929" i="1"/>
  <c r="O929" i="1"/>
  <c r="T928" i="1"/>
  <c r="S928" i="1"/>
  <c r="P928" i="1"/>
  <c r="O928" i="1"/>
  <c r="T927" i="1"/>
  <c r="S927" i="1"/>
  <c r="P927" i="1"/>
  <c r="O927" i="1"/>
  <c r="T926" i="1"/>
  <c r="S926" i="1"/>
  <c r="P926" i="1"/>
  <c r="O926" i="1"/>
  <c r="T925" i="1"/>
  <c r="S925" i="1"/>
  <c r="P925" i="1"/>
  <c r="O925" i="1"/>
  <c r="T924" i="1"/>
  <c r="S924" i="1"/>
  <c r="P924" i="1"/>
  <c r="O924" i="1"/>
  <c r="T923" i="1"/>
  <c r="S923" i="1"/>
  <c r="P923" i="1"/>
  <c r="O923" i="1"/>
  <c r="T922" i="1"/>
  <c r="S922" i="1"/>
  <c r="P922" i="1"/>
  <c r="O922" i="1"/>
  <c r="T921" i="1"/>
  <c r="S921" i="1"/>
  <c r="P921" i="1"/>
  <c r="O921" i="1"/>
  <c r="T920" i="1"/>
  <c r="S920" i="1"/>
  <c r="P920" i="1"/>
  <c r="O920" i="1"/>
  <c r="T919" i="1"/>
  <c r="S919" i="1"/>
  <c r="P919" i="1"/>
  <c r="O919" i="1"/>
  <c r="T918" i="1"/>
  <c r="S918" i="1"/>
  <c r="P918" i="1"/>
  <c r="O918" i="1"/>
  <c r="T917" i="1"/>
  <c r="S917" i="1"/>
  <c r="P917" i="1"/>
  <c r="O917" i="1"/>
  <c r="T916" i="1"/>
  <c r="S916" i="1"/>
  <c r="P916" i="1"/>
  <c r="O916" i="1"/>
  <c r="T915" i="1"/>
  <c r="S915" i="1"/>
  <c r="P915" i="1"/>
  <c r="O915" i="1"/>
  <c r="T914" i="1"/>
  <c r="S914" i="1"/>
  <c r="P914" i="1"/>
  <c r="O914" i="1"/>
  <c r="T913" i="1"/>
  <c r="S913" i="1"/>
  <c r="P913" i="1"/>
  <c r="O913" i="1"/>
  <c r="T912" i="1"/>
  <c r="S912" i="1"/>
  <c r="P912" i="1"/>
  <c r="O912" i="1"/>
  <c r="T911" i="1"/>
  <c r="S911" i="1"/>
  <c r="P911" i="1"/>
  <c r="O911" i="1"/>
  <c r="T910" i="1"/>
  <c r="S910" i="1"/>
  <c r="P910" i="1"/>
  <c r="O910" i="1"/>
  <c r="T909" i="1"/>
  <c r="S909" i="1"/>
  <c r="P909" i="1"/>
  <c r="O909" i="1"/>
  <c r="T908" i="1"/>
  <c r="S908" i="1"/>
  <c r="P908" i="1"/>
  <c r="O908" i="1"/>
  <c r="T907" i="1"/>
  <c r="S907" i="1"/>
  <c r="P907" i="1"/>
  <c r="O907" i="1"/>
  <c r="T906" i="1"/>
  <c r="S906" i="1"/>
  <c r="P906" i="1"/>
  <c r="O906" i="1"/>
  <c r="T905" i="1"/>
  <c r="S905" i="1"/>
  <c r="P905" i="1"/>
  <c r="O905" i="1"/>
  <c r="T904" i="1"/>
  <c r="S904" i="1"/>
  <c r="P904" i="1"/>
  <c r="O904" i="1"/>
  <c r="T903" i="1"/>
  <c r="S903" i="1"/>
  <c r="P903" i="1"/>
  <c r="O903" i="1"/>
  <c r="T902" i="1"/>
  <c r="S902" i="1"/>
  <c r="P902" i="1"/>
  <c r="O902" i="1"/>
  <c r="T901" i="1"/>
  <c r="S901" i="1"/>
  <c r="P901" i="1"/>
  <c r="O901" i="1"/>
  <c r="T900" i="1"/>
  <c r="S900" i="1"/>
  <c r="P900" i="1"/>
  <c r="O900" i="1"/>
  <c r="T899" i="1"/>
  <c r="S899" i="1"/>
  <c r="P899" i="1"/>
  <c r="O899" i="1"/>
  <c r="T898" i="1"/>
  <c r="S898" i="1"/>
  <c r="P898" i="1"/>
  <c r="O898" i="1"/>
  <c r="T897" i="1"/>
  <c r="S897" i="1"/>
  <c r="P897" i="1"/>
  <c r="O897" i="1"/>
  <c r="T896" i="1"/>
  <c r="S896" i="1"/>
  <c r="P896" i="1"/>
  <c r="O896" i="1"/>
  <c r="T895" i="1"/>
  <c r="S895" i="1"/>
  <c r="P895" i="1"/>
  <c r="O895" i="1"/>
  <c r="T894" i="1"/>
  <c r="S894" i="1"/>
  <c r="P894" i="1"/>
  <c r="O894" i="1"/>
  <c r="T893" i="1"/>
  <c r="S893" i="1"/>
  <c r="P893" i="1"/>
  <c r="O893" i="1"/>
  <c r="T892" i="1"/>
  <c r="S892" i="1"/>
  <c r="P892" i="1"/>
  <c r="O892" i="1"/>
  <c r="T891" i="1"/>
  <c r="S891" i="1"/>
  <c r="P891" i="1"/>
  <c r="O891" i="1"/>
  <c r="T890" i="1"/>
  <c r="S890" i="1"/>
  <c r="P890" i="1"/>
  <c r="O890" i="1"/>
  <c r="T889" i="1"/>
  <c r="S889" i="1"/>
  <c r="P889" i="1"/>
  <c r="O889" i="1"/>
  <c r="T888" i="1"/>
  <c r="S888" i="1"/>
  <c r="P888" i="1"/>
  <c r="O888" i="1"/>
  <c r="T887" i="1"/>
  <c r="S887" i="1"/>
  <c r="P887" i="1"/>
  <c r="O887" i="1"/>
  <c r="T886" i="1"/>
  <c r="S886" i="1"/>
  <c r="P886" i="1"/>
  <c r="O886" i="1"/>
  <c r="T885" i="1"/>
  <c r="S885" i="1"/>
  <c r="P885" i="1"/>
  <c r="O885" i="1"/>
  <c r="T884" i="1"/>
  <c r="S884" i="1"/>
  <c r="P884" i="1"/>
  <c r="O884" i="1"/>
  <c r="T883" i="1"/>
  <c r="S883" i="1"/>
  <c r="P883" i="1"/>
  <c r="O883" i="1"/>
  <c r="T882" i="1"/>
  <c r="S882" i="1"/>
  <c r="P882" i="1"/>
  <c r="O882" i="1"/>
  <c r="T881" i="1"/>
  <c r="S881" i="1"/>
  <c r="P881" i="1"/>
  <c r="O881" i="1"/>
  <c r="T880" i="1"/>
  <c r="S880" i="1"/>
  <c r="P880" i="1"/>
  <c r="O880" i="1"/>
  <c r="T879" i="1"/>
  <c r="S879" i="1"/>
  <c r="P879" i="1"/>
  <c r="O879" i="1"/>
  <c r="T878" i="1"/>
  <c r="S878" i="1"/>
  <c r="P878" i="1"/>
  <c r="O878" i="1"/>
  <c r="T877" i="1"/>
  <c r="S877" i="1"/>
  <c r="P877" i="1"/>
  <c r="O877" i="1"/>
  <c r="T876" i="1"/>
  <c r="S876" i="1"/>
  <c r="P876" i="1"/>
  <c r="O876" i="1"/>
  <c r="T875" i="1"/>
  <c r="S875" i="1"/>
  <c r="P875" i="1"/>
  <c r="O875" i="1"/>
  <c r="T874" i="1"/>
  <c r="S874" i="1"/>
  <c r="P874" i="1"/>
  <c r="O874" i="1"/>
  <c r="T873" i="1"/>
  <c r="S873" i="1"/>
  <c r="P873" i="1"/>
  <c r="O873" i="1"/>
  <c r="T872" i="1"/>
  <c r="S872" i="1"/>
  <c r="P872" i="1"/>
  <c r="O872" i="1"/>
  <c r="T871" i="1"/>
  <c r="S871" i="1"/>
  <c r="P871" i="1"/>
  <c r="O871" i="1"/>
  <c r="T870" i="1"/>
  <c r="S870" i="1"/>
  <c r="P870" i="1"/>
  <c r="O870" i="1"/>
  <c r="T869" i="1"/>
  <c r="S869" i="1"/>
  <c r="P869" i="1"/>
  <c r="O869" i="1"/>
  <c r="T868" i="1"/>
  <c r="S868" i="1"/>
  <c r="P868" i="1"/>
  <c r="O868" i="1"/>
  <c r="T867" i="1"/>
  <c r="S867" i="1"/>
  <c r="P867" i="1"/>
  <c r="O867" i="1"/>
  <c r="T866" i="1"/>
  <c r="S866" i="1"/>
  <c r="P866" i="1"/>
  <c r="O866" i="1"/>
  <c r="T865" i="1"/>
  <c r="S865" i="1"/>
  <c r="P865" i="1"/>
  <c r="O865" i="1"/>
  <c r="T864" i="1"/>
  <c r="S864" i="1"/>
  <c r="P864" i="1"/>
  <c r="O864" i="1"/>
  <c r="T863" i="1"/>
  <c r="S863" i="1"/>
  <c r="P863" i="1"/>
  <c r="O863" i="1"/>
  <c r="T862" i="1"/>
  <c r="S862" i="1"/>
  <c r="P862" i="1"/>
  <c r="O862" i="1"/>
  <c r="T861" i="1"/>
  <c r="S861" i="1"/>
  <c r="P861" i="1"/>
  <c r="O861" i="1"/>
  <c r="T860" i="1"/>
  <c r="S860" i="1"/>
  <c r="P860" i="1"/>
  <c r="O860" i="1"/>
  <c r="T859" i="1"/>
  <c r="S859" i="1"/>
  <c r="P859" i="1"/>
  <c r="O859" i="1"/>
  <c r="T858" i="1"/>
  <c r="S858" i="1"/>
  <c r="P858" i="1"/>
  <c r="O858" i="1"/>
  <c r="T857" i="1"/>
  <c r="S857" i="1"/>
  <c r="P857" i="1"/>
  <c r="O857" i="1"/>
  <c r="T856" i="1"/>
  <c r="S856" i="1"/>
  <c r="P856" i="1"/>
  <c r="O856" i="1"/>
  <c r="T855" i="1"/>
  <c r="S855" i="1"/>
  <c r="P855" i="1"/>
  <c r="O855" i="1"/>
  <c r="T854" i="1"/>
  <c r="S854" i="1"/>
  <c r="P854" i="1"/>
  <c r="O854" i="1"/>
  <c r="T853" i="1"/>
  <c r="S853" i="1"/>
  <c r="P853" i="1"/>
  <c r="O853" i="1"/>
  <c r="T852" i="1"/>
  <c r="S852" i="1"/>
  <c r="P852" i="1"/>
  <c r="O852" i="1"/>
  <c r="T851" i="1"/>
  <c r="S851" i="1"/>
  <c r="P851" i="1"/>
  <c r="O851" i="1"/>
  <c r="T850" i="1"/>
  <c r="S850" i="1"/>
  <c r="P850" i="1"/>
  <c r="O850" i="1"/>
  <c r="T849" i="1"/>
  <c r="S849" i="1"/>
  <c r="P849" i="1"/>
  <c r="O849" i="1"/>
  <c r="T848" i="1"/>
  <c r="S848" i="1"/>
  <c r="P848" i="1"/>
  <c r="O848" i="1"/>
  <c r="T847" i="1"/>
  <c r="S847" i="1"/>
  <c r="P847" i="1"/>
  <c r="O847" i="1"/>
  <c r="T846" i="1"/>
  <c r="S846" i="1"/>
  <c r="P846" i="1"/>
  <c r="O846" i="1"/>
  <c r="T845" i="1"/>
  <c r="S845" i="1"/>
  <c r="P845" i="1"/>
  <c r="O845" i="1"/>
  <c r="T844" i="1"/>
  <c r="S844" i="1"/>
  <c r="P844" i="1"/>
  <c r="O844" i="1"/>
  <c r="T843" i="1"/>
  <c r="S843" i="1"/>
  <c r="P843" i="1"/>
  <c r="O843" i="1"/>
  <c r="T842" i="1"/>
  <c r="S842" i="1"/>
  <c r="P842" i="1"/>
  <c r="O842" i="1"/>
  <c r="T841" i="1"/>
  <c r="S841" i="1"/>
  <c r="P841" i="1"/>
  <c r="O841" i="1"/>
  <c r="T840" i="1"/>
  <c r="S840" i="1"/>
  <c r="P840" i="1"/>
  <c r="O840" i="1"/>
  <c r="T839" i="1"/>
  <c r="S839" i="1"/>
  <c r="P839" i="1"/>
  <c r="O839" i="1"/>
  <c r="T838" i="1"/>
  <c r="S838" i="1"/>
  <c r="P838" i="1"/>
  <c r="O838" i="1"/>
  <c r="T837" i="1"/>
  <c r="S837" i="1"/>
  <c r="P837" i="1"/>
  <c r="O837" i="1"/>
  <c r="T836" i="1"/>
  <c r="S836" i="1"/>
  <c r="P836" i="1"/>
  <c r="O836" i="1"/>
  <c r="T835" i="1"/>
  <c r="S835" i="1"/>
  <c r="P835" i="1"/>
  <c r="O835" i="1"/>
  <c r="T834" i="1"/>
  <c r="S834" i="1"/>
  <c r="P834" i="1"/>
  <c r="O834" i="1"/>
  <c r="T833" i="1"/>
  <c r="S833" i="1"/>
  <c r="P833" i="1"/>
  <c r="O833" i="1"/>
  <c r="T832" i="1"/>
  <c r="S832" i="1"/>
  <c r="P832" i="1"/>
  <c r="O832" i="1"/>
  <c r="T831" i="1"/>
  <c r="S831" i="1"/>
  <c r="P831" i="1"/>
  <c r="O831" i="1"/>
  <c r="T830" i="1"/>
  <c r="S830" i="1"/>
  <c r="P830" i="1"/>
  <c r="O830" i="1"/>
  <c r="T829" i="1"/>
  <c r="S829" i="1"/>
  <c r="P829" i="1"/>
  <c r="O829" i="1"/>
  <c r="T828" i="1"/>
  <c r="S828" i="1"/>
  <c r="P828" i="1"/>
  <c r="O828" i="1"/>
  <c r="T827" i="1"/>
  <c r="S827" i="1"/>
  <c r="P827" i="1"/>
  <c r="O827" i="1"/>
  <c r="T826" i="1"/>
  <c r="S826" i="1"/>
  <c r="P826" i="1"/>
  <c r="O826" i="1"/>
  <c r="T825" i="1"/>
  <c r="S825" i="1"/>
  <c r="P825" i="1"/>
  <c r="O825" i="1"/>
  <c r="T824" i="1"/>
  <c r="S824" i="1"/>
  <c r="P824" i="1"/>
  <c r="O824" i="1"/>
  <c r="T823" i="1"/>
  <c r="S823" i="1"/>
  <c r="P823" i="1"/>
  <c r="O823" i="1"/>
  <c r="T822" i="1"/>
  <c r="S822" i="1"/>
  <c r="P822" i="1"/>
  <c r="O822" i="1"/>
  <c r="T821" i="1"/>
  <c r="S821" i="1"/>
  <c r="P821" i="1"/>
  <c r="O821" i="1"/>
  <c r="T820" i="1"/>
  <c r="S820" i="1"/>
  <c r="P820" i="1"/>
  <c r="O820" i="1"/>
  <c r="T819" i="1"/>
  <c r="S819" i="1"/>
  <c r="P819" i="1"/>
  <c r="O819" i="1"/>
  <c r="T818" i="1"/>
  <c r="S818" i="1"/>
  <c r="P818" i="1"/>
  <c r="O818" i="1"/>
  <c r="T817" i="1"/>
  <c r="S817" i="1"/>
  <c r="P817" i="1"/>
  <c r="O817" i="1"/>
  <c r="T816" i="1"/>
  <c r="S816" i="1"/>
  <c r="P816" i="1"/>
  <c r="O816" i="1"/>
  <c r="T815" i="1"/>
  <c r="S815" i="1"/>
  <c r="P815" i="1"/>
  <c r="O815" i="1"/>
  <c r="T814" i="1"/>
  <c r="S814" i="1"/>
  <c r="P814" i="1"/>
  <c r="O814" i="1"/>
  <c r="T813" i="1"/>
  <c r="S813" i="1"/>
  <c r="P813" i="1"/>
  <c r="O813" i="1"/>
  <c r="T812" i="1"/>
  <c r="S812" i="1"/>
  <c r="P812" i="1"/>
  <c r="O812" i="1"/>
  <c r="T811" i="1"/>
  <c r="S811" i="1"/>
  <c r="P811" i="1"/>
  <c r="O811" i="1"/>
  <c r="T810" i="1"/>
  <c r="S810" i="1"/>
  <c r="P810" i="1"/>
  <c r="O810" i="1"/>
  <c r="T809" i="1"/>
  <c r="S809" i="1"/>
  <c r="P809" i="1"/>
  <c r="O809" i="1"/>
  <c r="T808" i="1"/>
  <c r="S808" i="1"/>
  <c r="P808" i="1"/>
  <c r="O808" i="1"/>
  <c r="T807" i="1"/>
  <c r="S807" i="1"/>
  <c r="P807" i="1"/>
  <c r="O807" i="1"/>
  <c r="T806" i="1"/>
  <c r="S806" i="1"/>
  <c r="P806" i="1"/>
  <c r="O806" i="1"/>
  <c r="T805" i="1"/>
  <c r="S805" i="1"/>
  <c r="P805" i="1"/>
  <c r="O805" i="1"/>
  <c r="T804" i="1"/>
  <c r="S804" i="1"/>
  <c r="P804" i="1"/>
  <c r="O804" i="1"/>
  <c r="T803" i="1"/>
  <c r="S803" i="1"/>
  <c r="P803" i="1"/>
  <c r="O803" i="1"/>
  <c r="T802" i="1"/>
  <c r="S802" i="1"/>
  <c r="P802" i="1"/>
  <c r="O802" i="1"/>
  <c r="T801" i="1"/>
  <c r="S801" i="1"/>
  <c r="P801" i="1"/>
  <c r="O801" i="1"/>
  <c r="T800" i="1"/>
  <c r="S800" i="1"/>
  <c r="P800" i="1"/>
  <c r="O800" i="1"/>
  <c r="T799" i="1"/>
  <c r="S799" i="1"/>
  <c r="P799" i="1"/>
  <c r="O799" i="1"/>
  <c r="T798" i="1"/>
  <c r="S798" i="1"/>
  <c r="P798" i="1"/>
  <c r="O798" i="1"/>
  <c r="T797" i="1"/>
  <c r="S797" i="1"/>
  <c r="P797" i="1"/>
  <c r="O797" i="1"/>
  <c r="T796" i="1"/>
  <c r="S796" i="1"/>
  <c r="P796" i="1"/>
  <c r="O796" i="1"/>
  <c r="T795" i="1"/>
  <c r="S795" i="1"/>
  <c r="P795" i="1"/>
  <c r="O795" i="1"/>
  <c r="T794" i="1"/>
  <c r="S794" i="1"/>
  <c r="P794" i="1"/>
  <c r="O794" i="1"/>
  <c r="T793" i="1"/>
  <c r="S793" i="1"/>
  <c r="P793" i="1"/>
  <c r="O793" i="1"/>
  <c r="T792" i="1"/>
  <c r="S792" i="1"/>
  <c r="P792" i="1"/>
  <c r="O792" i="1"/>
  <c r="T791" i="1"/>
  <c r="S791" i="1"/>
  <c r="P791" i="1"/>
  <c r="O791" i="1"/>
  <c r="T790" i="1"/>
  <c r="S790" i="1"/>
  <c r="P790" i="1"/>
  <c r="O790" i="1"/>
  <c r="T789" i="1"/>
  <c r="S789" i="1"/>
  <c r="P789" i="1"/>
  <c r="O789" i="1"/>
  <c r="T788" i="1"/>
  <c r="S788" i="1"/>
  <c r="P788" i="1"/>
  <c r="O788" i="1"/>
  <c r="T787" i="1"/>
  <c r="S787" i="1"/>
  <c r="P787" i="1"/>
  <c r="O787" i="1"/>
  <c r="T786" i="1"/>
  <c r="S786" i="1"/>
  <c r="P786" i="1"/>
  <c r="O786" i="1"/>
  <c r="T785" i="1"/>
  <c r="S785" i="1"/>
  <c r="P785" i="1"/>
  <c r="O785" i="1"/>
  <c r="T784" i="1"/>
  <c r="S784" i="1"/>
  <c r="P784" i="1"/>
  <c r="O784" i="1"/>
  <c r="T783" i="1"/>
  <c r="S783" i="1"/>
  <c r="P783" i="1"/>
  <c r="O783" i="1"/>
  <c r="T782" i="1"/>
  <c r="S782" i="1"/>
  <c r="P782" i="1"/>
  <c r="O782" i="1"/>
  <c r="T781" i="1"/>
  <c r="S781" i="1"/>
  <c r="P781" i="1"/>
  <c r="O781" i="1"/>
  <c r="T780" i="1"/>
  <c r="S780" i="1"/>
  <c r="P780" i="1"/>
  <c r="O780" i="1"/>
  <c r="T779" i="1"/>
  <c r="S779" i="1"/>
  <c r="P779" i="1"/>
  <c r="O779" i="1"/>
  <c r="T778" i="1"/>
  <c r="S778" i="1"/>
  <c r="P778" i="1"/>
  <c r="O778" i="1"/>
  <c r="T777" i="1"/>
  <c r="S777" i="1"/>
  <c r="P777" i="1"/>
  <c r="O777" i="1"/>
  <c r="T776" i="1"/>
  <c r="S776" i="1"/>
  <c r="P776" i="1"/>
  <c r="O776" i="1"/>
  <c r="T775" i="1"/>
  <c r="S775" i="1"/>
  <c r="P775" i="1"/>
  <c r="O775" i="1"/>
  <c r="T774" i="1"/>
  <c r="S774" i="1"/>
  <c r="P774" i="1"/>
  <c r="O774" i="1"/>
  <c r="T773" i="1"/>
  <c r="S773" i="1"/>
  <c r="P773" i="1"/>
  <c r="O773" i="1"/>
  <c r="T772" i="1"/>
  <c r="S772" i="1"/>
  <c r="P772" i="1"/>
  <c r="O772" i="1"/>
  <c r="T771" i="1"/>
  <c r="S771" i="1"/>
  <c r="P771" i="1"/>
  <c r="O771" i="1"/>
  <c r="T770" i="1"/>
  <c r="S770" i="1"/>
  <c r="P770" i="1"/>
  <c r="O770" i="1"/>
  <c r="T769" i="1"/>
  <c r="S769" i="1"/>
  <c r="P769" i="1"/>
  <c r="O769" i="1"/>
  <c r="T768" i="1"/>
  <c r="S768" i="1"/>
  <c r="P768" i="1"/>
  <c r="O768" i="1"/>
  <c r="T767" i="1"/>
  <c r="S767" i="1"/>
  <c r="P767" i="1"/>
  <c r="O767" i="1"/>
  <c r="T766" i="1"/>
  <c r="S766" i="1"/>
  <c r="P766" i="1"/>
  <c r="O766" i="1"/>
  <c r="T765" i="1"/>
  <c r="S765" i="1"/>
  <c r="P765" i="1"/>
  <c r="O765" i="1"/>
  <c r="T764" i="1"/>
  <c r="S764" i="1"/>
  <c r="P764" i="1"/>
  <c r="O764" i="1"/>
  <c r="T763" i="1"/>
  <c r="S763" i="1"/>
  <c r="P763" i="1"/>
  <c r="O763" i="1"/>
  <c r="T762" i="1"/>
  <c r="S762" i="1"/>
  <c r="P762" i="1"/>
  <c r="O762" i="1"/>
  <c r="T761" i="1"/>
  <c r="S761" i="1"/>
  <c r="P761" i="1"/>
  <c r="O761" i="1"/>
  <c r="T760" i="1"/>
  <c r="S760" i="1"/>
  <c r="P760" i="1"/>
  <c r="O760" i="1"/>
  <c r="T759" i="1"/>
  <c r="S759" i="1"/>
  <c r="P759" i="1"/>
  <c r="O759" i="1"/>
  <c r="T758" i="1"/>
  <c r="S758" i="1"/>
  <c r="P758" i="1"/>
  <c r="O758" i="1"/>
  <c r="T757" i="1"/>
  <c r="S757" i="1"/>
  <c r="P757" i="1"/>
  <c r="O757" i="1"/>
  <c r="T756" i="1"/>
  <c r="S756" i="1"/>
  <c r="P756" i="1"/>
  <c r="O756" i="1"/>
  <c r="T755" i="1"/>
  <c r="S755" i="1"/>
  <c r="P755" i="1"/>
  <c r="O755" i="1"/>
  <c r="T754" i="1"/>
  <c r="S754" i="1"/>
  <c r="P754" i="1"/>
  <c r="O754" i="1"/>
  <c r="T753" i="1"/>
  <c r="S753" i="1"/>
  <c r="P753" i="1"/>
  <c r="O753" i="1"/>
  <c r="T752" i="1"/>
  <c r="S752" i="1"/>
  <c r="P752" i="1"/>
  <c r="O752" i="1"/>
  <c r="T751" i="1"/>
  <c r="S751" i="1"/>
  <c r="P751" i="1"/>
  <c r="O751" i="1"/>
  <c r="T750" i="1"/>
  <c r="S750" i="1"/>
  <c r="P750" i="1"/>
  <c r="O750" i="1"/>
  <c r="T749" i="1"/>
  <c r="S749" i="1"/>
  <c r="P749" i="1"/>
  <c r="O749" i="1"/>
  <c r="T748" i="1"/>
  <c r="S748" i="1"/>
  <c r="P748" i="1"/>
  <c r="O748" i="1"/>
  <c r="T747" i="1"/>
  <c r="S747" i="1"/>
  <c r="P747" i="1"/>
  <c r="O747" i="1"/>
  <c r="T746" i="1"/>
  <c r="S746" i="1"/>
  <c r="P746" i="1"/>
  <c r="O746" i="1"/>
  <c r="T745" i="1"/>
  <c r="S745" i="1"/>
  <c r="P745" i="1"/>
  <c r="O745" i="1"/>
  <c r="T744" i="1"/>
  <c r="S744" i="1"/>
  <c r="P744" i="1"/>
  <c r="O744" i="1"/>
  <c r="T743" i="1"/>
  <c r="S743" i="1"/>
  <c r="P743" i="1"/>
  <c r="O743" i="1"/>
  <c r="T742" i="1"/>
  <c r="S742" i="1"/>
  <c r="P742" i="1"/>
  <c r="O742" i="1"/>
  <c r="T741" i="1"/>
  <c r="S741" i="1"/>
  <c r="P741" i="1"/>
  <c r="O741" i="1"/>
  <c r="T740" i="1"/>
  <c r="S740" i="1"/>
  <c r="P740" i="1"/>
  <c r="O740" i="1"/>
  <c r="T739" i="1"/>
  <c r="S739" i="1"/>
  <c r="P739" i="1"/>
  <c r="O739" i="1"/>
  <c r="T738" i="1"/>
  <c r="S738" i="1"/>
  <c r="P738" i="1"/>
  <c r="O738" i="1"/>
  <c r="T737" i="1"/>
  <c r="S737" i="1"/>
  <c r="P737" i="1"/>
  <c r="O737" i="1"/>
  <c r="T736" i="1"/>
  <c r="S736" i="1"/>
  <c r="P736" i="1"/>
  <c r="O736" i="1"/>
  <c r="T735" i="1"/>
  <c r="S735" i="1"/>
  <c r="P735" i="1"/>
  <c r="O735" i="1"/>
  <c r="T734" i="1"/>
  <c r="S734" i="1"/>
  <c r="P734" i="1"/>
  <c r="O734" i="1"/>
  <c r="T733" i="1"/>
  <c r="S733" i="1"/>
  <c r="P733" i="1"/>
  <c r="O733" i="1"/>
  <c r="T732" i="1"/>
  <c r="S732" i="1"/>
  <c r="P732" i="1"/>
  <c r="O732" i="1"/>
  <c r="T731" i="1"/>
  <c r="S731" i="1"/>
  <c r="P731" i="1"/>
  <c r="O731" i="1"/>
  <c r="T730" i="1"/>
  <c r="S730" i="1"/>
  <c r="P730" i="1"/>
  <c r="O730" i="1"/>
  <c r="T729" i="1"/>
  <c r="S729" i="1"/>
  <c r="P729" i="1"/>
  <c r="O729" i="1"/>
  <c r="T728" i="1"/>
  <c r="S728" i="1"/>
  <c r="P728" i="1"/>
  <c r="O728" i="1"/>
  <c r="T727" i="1"/>
  <c r="S727" i="1"/>
  <c r="P727" i="1"/>
  <c r="O727" i="1"/>
  <c r="T726" i="1"/>
  <c r="S726" i="1"/>
  <c r="P726" i="1"/>
  <c r="O726" i="1"/>
  <c r="T725" i="1"/>
  <c r="S725" i="1"/>
  <c r="P725" i="1"/>
  <c r="O725" i="1"/>
  <c r="T724" i="1"/>
  <c r="S724" i="1"/>
  <c r="P724" i="1"/>
  <c r="O724" i="1"/>
  <c r="T723" i="1"/>
  <c r="S723" i="1"/>
  <c r="P723" i="1"/>
  <c r="O723" i="1"/>
  <c r="T722" i="1"/>
  <c r="S722" i="1"/>
  <c r="P722" i="1"/>
  <c r="O722" i="1"/>
  <c r="T721" i="1"/>
  <c r="S721" i="1"/>
  <c r="P721" i="1"/>
  <c r="O721" i="1"/>
  <c r="T720" i="1"/>
  <c r="S720" i="1"/>
  <c r="P720" i="1"/>
  <c r="O720" i="1"/>
  <c r="T719" i="1"/>
  <c r="S719" i="1"/>
  <c r="P719" i="1"/>
  <c r="O719" i="1"/>
  <c r="T718" i="1"/>
  <c r="S718" i="1"/>
  <c r="P718" i="1"/>
  <c r="O718" i="1"/>
  <c r="T717" i="1"/>
  <c r="S717" i="1"/>
  <c r="P717" i="1"/>
  <c r="O717" i="1"/>
  <c r="T716" i="1"/>
  <c r="S716" i="1"/>
  <c r="P716" i="1"/>
  <c r="O716" i="1"/>
  <c r="T715" i="1"/>
  <c r="S715" i="1"/>
  <c r="P715" i="1"/>
  <c r="O715" i="1"/>
  <c r="T714" i="1"/>
  <c r="S714" i="1"/>
  <c r="P714" i="1"/>
  <c r="O714" i="1"/>
  <c r="T713" i="1"/>
  <c r="S713" i="1"/>
  <c r="P713" i="1"/>
  <c r="O713" i="1"/>
  <c r="T712" i="1"/>
  <c r="S712" i="1"/>
  <c r="P712" i="1"/>
  <c r="O712" i="1"/>
  <c r="T711" i="1"/>
  <c r="S711" i="1"/>
  <c r="P711" i="1"/>
  <c r="O711" i="1"/>
  <c r="T710" i="1"/>
  <c r="S710" i="1"/>
  <c r="P710" i="1"/>
  <c r="O710" i="1"/>
  <c r="T709" i="1"/>
  <c r="S709" i="1"/>
  <c r="P709" i="1"/>
  <c r="O709" i="1"/>
  <c r="T708" i="1"/>
  <c r="S708" i="1"/>
  <c r="P708" i="1"/>
  <c r="O708" i="1"/>
  <c r="T707" i="1"/>
  <c r="S707" i="1"/>
  <c r="P707" i="1"/>
  <c r="O707" i="1"/>
  <c r="T706" i="1"/>
  <c r="S706" i="1"/>
  <c r="P706" i="1"/>
  <c r="O706" i="1"/>
  <c r="T705" i="1"/>
  <c r="S705" i="1"/>
  <c r="P705" i="1"/>
  <c r="O705" i="1"/>
  <c r="T704" i="1"/>
  <c r="S704" i="1"/>
  <c r="P704" i="1"/>
  <c r="O704" i="1"/>
  <c r="T703" i="1"/>
  <c r="S703" i="1"/>
  <c r="P703" i="1"/>
  <c r="O703" i="1"/>
  <c r="T702" i="1"/>
  <c r="S702" i="1"/>
  <c r="P702" i="1"/>
  <c r="O702" i="1"/>
  <c r="T701" i="1"/>
  <c r="S701" i="1"/>
  <c r="P701" i="1"/>
  <c r="O701" i="1"/>
  <c r="T700" i="1"/>
  <c r="S700" i="1"/>
  <c r="P700" i="1"/>
  <c r="O700" i="1"/>
  <c r="T699" i="1"/>
  <c r="S699" i="1"/>
  <c r="P699" i="1"/>
  <c r="O699" i="1"/>
  <c r="T698" i="1"/>
  <c r="S698" i="1"/>
  <c r="P698" i="1"/>
  <c r="O698" i="1"/>
  <c r="T697" i="1"/>
  <c r="S697" i="1"/>
  <c r="P697" i="1"/>
  <c r="O697" i="1"/>
  <c r="T696" i="1"/>
  <c r="S696" i="1"/>
  <c r="P696" i="1"/>
  <c r="O696" i="1"/>
  <c r="T695" i="1"/>
  <c r="S695" i="1"/>
  <c r="P695" i="1"/>
  <c r="O695" i="1"/>
  <c r="T694" i="1"/>
  <c r="S694" i="1"/>
  <c r="P694" i="1"/>
  <c r="O694" i="1"/>
  <c r="T693" i="1"/>
  <c r="S693" i="1"/>
  <c r="P693" i="1"/>
  <c r="O693" i="1"/>
  <c r="T692" i="1"/>
  <c r="S692" i="1"/>
  <c r="P692" i="1"/>
  <c r="O692" i="1"/>
  <c r="T691" i="1"/>
  <c r="S691" i="1"/>
  <c r="P691" i="1"/>
  <c r="O691" i="1"/>
  <c r="T690" i="1"/>
  <c r="S690" i="1"/>
  <c r="P690" i="1"/>
  <c r="O690" i="1"/>
  <c r="T689" i="1"/>
  <c r="S689" i="1"/>
  <c r="P689" i="1"/>
  <c r="O689" i="1"/>
  <c r="T688" i="1"/>
  <c r="S688" i="1"/>
  <c r="P688" i="1"/>
  <c r="O688" i="1"/>
  <c r="T687" i="1"/>
  <c r="S687" i="1"/>
  <c r="P687" i="1"/>
  <c r="O687" i="1"/>
  <c r="T686" i="1"/>
  <c r="S686" i="1"/>
  <c r="P686" i="1"/>
  <c r="O686" i="1"/>
  <c r="T685" i="1"/>
  <c r="S685" i="1"/>
  <c r="P685" i="1"/>
  <c r="O685" i="1"/>
  <c r="T684" i="1"/>
  <c r="S684" i="1"/>
  <c r="P684" i="1"/>
  <c r="O684" i="1"/>
  <c r="T683" i="1"/>
  <c r="S683" i="1"/>
  <c r="P683" i="1"/>
  <c r="O683" i="1"/>
  <c r="T682" i="1"/>
  <c r="S682" i="1"/>
  <c r="P682" i="1"/>
  <c r="O682" i="1"/>
  <c r="T681" i="1"/>
  <c r="S681" i="1"/>
  <c r="P681" i="1"/>
  <c r="O681" i="1"/>
  <c r="T680" i="1"/>
  <c r="S680" i="1"/>
  <c r="P680" i="1"/>
  <c r="O680" i="1"/>
  <c r="T679" i="1"/>
  <c r="S679" i="1"/>
  <c r="P679" i="1"/>
  <c r="O679" i="1"/>
  <c r="T678" i="1"/>
  <c r="S678" i="1"/>
  <c r="P678" i="1"/>
  <c r="O678" i="1"/>
  <c r="T677" i="1"/>
  <c r="S677" i="1"/>
  <c r="P677" i="1"/>
  <c r="O677" i="1"/>
  <c r="T676" i="1"/>
  <c r="S676" i="1"/>
  <c r="P676" i="1"/>
  <c r="O676" i="1"/>
  <c r="T675" i="1"/>
  <c r="S675" i="1"/>
  <c r="P675" i="1"/>
  <c r="O675" i="1"/>
  <c r="T674" i="1"/>
  <c r="S674" i="1"/>
  <c r="P674" i="1"/>
  <c r="O674" i="1"/>
  <c r="T673" i="1"/>
  <c r="S673" i="1"/>
  <c r="P673" i="1"/>
  <c r="O673" i="1"/>
  <c r="T672" i="1"/>
  <c r="S672" i="1"/>
  <c r="P672" i="1"/>
  <c r="O672" i="1"/>
  <c r="T671" i="1"/>
  <c r="S671" i="1"/>
  <c r="P671" i="1"/>
  <c r="O671" i="1"/>
  <c r="T670" i="1"/>
  <c r="S670" i="1"/>
  <c r="P670" i="1"/>
  <c r="O670" i="1"/>
  <c r="T669" i="1"/>
  <c r="S669" i="1"/>
  <c r="P669" i="1"/>
  <c r="O669" i="1"/>
  <c r="T668" i="1"/>
  <c r="S668" i="1"/>
  <c r="P668" i="1"/>
  <c r="O668" i="1"/>
  <c r="T667" i="1"/>
  <c r="S667" i="1"/>
  <c r="P667" i="1"/>
  <c r="O667" i="1"/>
  <c r="T666" i="1"/>
  <c r="S666" i="1"/>
  <c r="P666" i="1"/>
  <c r="O666" i="1"/>
  <c r="T665" i="1"/>
  <c r="S665" i="1"/>
  <c r="P665" i="1"/>
  <c r="O665" i="1"/>
  <c r="T664" i="1"/>
  <c r="S664" i="1"/>
  <c r="P664" i="1"/>
  <c r="O664" i="1"/>
  <c r="T663" i="1"/>
  <c r="S663" i="1"/>
  <c r="P663" i="1"/>
  <c r="O663" i="1"/>
  <c r="T662" i="1"/>
  <c r="S662" i="1"/>
  <c r="P662" i="1"/>
  <c r="O662" i="1"/>
  <c r="T661" i="1"/>
  <c r="S661" i="1"/>
  <c r="P661" i="1"/>
  <c r="O661" i="1"/>
  <c r="T660" i="1"/>
  <c r="S660" i="1"/>
  <c r="P660" i="1"/>
  <c r="O660" i="1"/>
  <c r="T659" i="1"/>
  <c r="S659" i="1"/>
  <c r="P659" i="1"/>
  <c r="O659" i="1"/>
  <c r="T658" i="1"/>
  <c r="S658" i="1"/>
  <c r="P658" i="1"/>
  <c r="O658" i="1"/>
  <c r="T657" i="1"/>
  <c r="S657" i="1"/>
  <c r="P657" i="1"/>
  <c r="O657" i="1"/>
  <c r="T656" i="1"/>
  <c r="S656" i="1"/>
  <c r="P656" i="1"/>
  <c r="O656" i="1"/>
  <c r="T655" i="1"/>
  <c r="S655" i="1"/>
  <c r="P655" i="1"/>
  <c r="O655" i="1"/>
  <c r="T654" i="1"/>
  <c r="S654" i="1"/>
  <c r="P654" i="1"/>
  <c r="O654" i="1"/>
  <c r="T653" i="1"/>
  <c r="S653" i="1"/>
  <c r="P653" i="1"/>
  <c r="O653" i="1"/>
  <c r="T652" i="1"/>
  <c r="S652" i="1"/>
  <c r="P652" i="1"/>
  <c r="O652" i="1"/>
  <c r="T651" i="1"/>
  <c r="S651" i="1"/>
  <c r="P651" i="1"/>
  <c r="O651" i="1"/>
  <c r="T650" i="1"/>
  <c r="S650" i="1"/>
  <c r="P650" i="1"/>
  <c r="O650" i="1"/>
  <c r="T649" i="1"/>
  <c r="S649" i="1"/>
  <c r="P649" i="1"/>
  <c r="O649" i="1"/>
  <c r="T648" i="1"/>
  <c r="S648" i="1"/>
  <c r="P648" i="1"/>
  <c r="O648" i="1"/>
  <c r="T647" i="1"/>
  <c r="S647" i="1"/>
  <c r="P647" i="1"/>
  <c r="O647" i="1"/>
  <c r="T646" i="1"/>
  <c r="S646" i="1"/>
  <c r="P646" i="1"/>
  <c r="O646" i="1"/>
  <c r="T645" i="1"/>
  <c r="S645" i="1"/>
  <c r="P645" i="1"/>
  <c r="O645" i="1"/>
  <c r="T644" i="1"/>
  <c r="S644" i="1"/>
  <c r="P644" i="1"/>
  <c r="O644" i="1"/>
  <c r="T643" i="1"/>
  <c r="S643" i="1"/>
  <c r="P643" i="1"/>
  <c r="O643" i="1"/>
  <c r="T642" i="1"/>
  <c r="S642" i="1"/>
  <c r="P642" i="1"/>
  <c r="O642" i="1"/>
  <c r="T641" i="1"/>
  <c r="S641" i="1"/>
  <c r="P641" i="1"/>
  <c r="O641" i="1"/>
  <c r="T640" i="1"/>
  <c r="S640" i="1"/>
  <c r="P640" i="1"/>
  <c r="O640" i="1"/>
  <c r="T639" i="1"/>
  <c r="S639" i="1"/>
  <c r="P639" i="1"/>
  <c r="O639" i="1"/>
  <c r="T638" i="1"/>
  <c r="S638" i="1"/>
  <c r="P638" i="1"/>
  <c r="O638" i="1"/>
  <c r="T637" i="1"/>
  <c r="S637" i="1"/>
  <c r="P637" i="1"/>
  <c r="O637" i="1"/>
  <c r="T636" i="1"/>
  <c r="S636" i="1"/>
  <c r="P636" i="1"/>
  <c r="O636" i="1"/>
  <c r="T635" i="1"/>
  <c r="S635" i="1"/>
  <c r="P635" i="1"/>
  <c r="O635" i="1"/>
  <c r="T634" i="1"/>
  <c r="S634" i="1"/>
  <c r="P634" i="1"/>
  <c r="O634" i="1"/>
  <c r="T633" i="1"/>
  <c r="S633" i="1"/>
  <c r="P633" i="1"/>
  <c r="O633" i="1"/>
  <c r="T632" i="1"/>
  <c r="S632" i="1"/>
  <c r="P632" i="1"/>
  <c r="O632" i="1"/>
  <c r="T631" i="1"/>
  <c r="S631" i="1"/>
  <c r="P631" i="1"/>
  <c r="O631" i="1"/>
  <c r="T630" i="1"/>
  <c r="S630" i="1"/>
  <c r="P630" i="1"/>
  <c r="O630" i="1"/>
  <c r="T629" i="1"/>
  <c r="S629" i="1"/>
  <c r="P629" i="1"/>
  <c r="O629" i="1"/>
  <c r="T628" i="1"/>
  <c r="S628" i="1"/>
  <c r="P628" i="1"/>
  <c r="O628" i="1"/>
  <c r="T627" i="1"/>
  <c r="S627" i="1"/>
  <c r="P627" i="1"/>
  <c r="O627" i="1"/>
  <c r="T626" i="1"/>
  <c r="S626" i="1"/>
  <c r="P626" i="1"/>
  <c r="O626" i="1"/>
  <c r="T625" i="1"/>
  <c r="S625" i="1"/>
  <c r="P625" i="1"/>
  <c r="O625" i="1"/>
  <c r="T624" i="1"/>
  <c r="S624" i="1"/>
  <c r="P624" i="1"/>
  <c r="O624" i="1"/>
  <c r="T623" i="1"/>
  <c r="S623" i="1"/>
  <c r="P623" i="1"/>
  <c r="O623" i="1"/>
  <c r="T622" i="1"/>
  <c r="S622" i="1"/>
  <c r="P622" i="1"/>
  <c r="O622" i="1"/>
  <c r="T621" i="1"/>
  <c r="S621" i="1"/>
  <c r="P621" i="1"/>
  <c r="O621" i="1"/>
  <c r="T620" i="1"/>
  <c r="S620" i="1"/>
  <c r="P620" i="1"/>
  <c r="O620" i="1"/>
  <c r="T619" i="1"/>
  <c r="S619" i="1"/>
  <c r="P619" i="1"/>
  <c r="O619" i="1"/>
  <c r="T618" i="1"/>
  <c r="S618" i="1"/>
  <c r="P618" i="1"/>
  <c r="O618" i="1"/>
  <c r="T617" i="1"/>
  <c r="S617" i="1"/>
  <c r="P617" i="1"/>
  <c r="O617" i="1"/>
  <c r="T616" i="1"/>
  <c r="S616" i="1"/>
  <c r="P616" i="1"/>
  <c r="O616" i="1"/>
  <c r="T615" i="1"/>
  <c r="S615" i="1"/>
  <c r="P615" i="1"/>
  <c r="O615" i="1"/>
  <c r="T614" i="1"/>
  <c r="S614" i="1"/>
  <c r="P614" i="1"/>
  <c r="O614" i="1"/>
  <c r="T613" i="1"/>
  <c r="S613" i="1"/>
  <c r="P613" i="1"/>
  <c r="O613" i="1"/>
  <c r="T612" i="1"/>
  <c r="S612" i="1"/>
  <c r="P612" i="1"/>
  <c r="O612" i="1"/>
  <c r="T611" i="1"/>
  <c r="S611" i="1"/>
  <c r="P611" i="1"/>
  <c r="O611" i="1"/>
  <c r="T610" i="1"/>
  <c r="S610" i="1"/>
  <c r="P610" i="1"/>
  <c r="O610" i="1"/>
  <c r="T609" i="1"/>
  <c r="S609" i="1"/>
  <c r="P609" i="1"/>
  <c r="O609" i="1"/>
  <c r="T608" i="1"/>
  <c r="S608" i="1"/>
  <c r="P608" i="1"/>
  <c r="O608" i="1"/>
  <c r="T607" i="1"/>
  <c r="S607" i="1"/>
  <c r="P607" i="1"/>
  <c r="O607" i="1"/>
  <c r="T606" i="1"/>
  <c r="S606" i="1"/>
  <c r="P606" i="1"/>
  <c r="O606" i="1"/>
  <c r="T605" i="1"/>
  <c r="S605" i="1"/>
  <c r="P605" i="1"/>
  <c r="O605" i="1"/>
  <c r="T604" i="1"/>
  <c r="S604" i="1"/>
  <c r="P604" i="1"/>
  <c r="O604" i="1"/>
  <c r="T603" i="1"/>
  <c r="S603" i="1"/>
  <c r="P603" i="1"/>
  <c r="O603" i="1"/>
  <c r="T602" i="1"/>
  <c r="S602" i="1"/>
  <c r="P602" i="1"/>
  <c r="O602" i="1"/>
  <c r="T601" i="1"/>
  <c r="S601" i="1"/>
  <c r="P601" i="1"/>
  <c r="O601" i="1"/>
  <c r="T600" i="1"/>
  <c r="S600" i="1"/>
  <c r="P600" i="1"/>
  <c r="O600" i="1"/>
  <c r="T599" i="1"/>
  <c r="S599" i="1"/>
  <c r="P599" i="1"/>
  <c r="O599" i="1"/>
  <c r="T598" i="1"/>
  <c r="S598" i="1"/>
  <c r="P598" i="1"/>
  <c r="O598" i="1"/>
  <c r="T597" i="1"/>
  <c r="S597" i="1"/>
  <c r="P597" i="1"/>
  <c r="O597" i="1"/>
  <c r="T596" i="1"/>
  <c r="S596" i="1"/>
  <c r="P596" i="1"/>
  <c r="O596" i="1"/>
  <c r="T595" i="1"/>
  <c r="S595" i="1"/>
  <c r="P595" i="1"/>
  <c r="O595" i="1"/>
  <c r="T594" i="1"/>
  <c r="S594" i="1"/>
  <c r="P594" i="1"/>
  <c r="O594" i="1"/>
  <c r="T593" i="1"/>
  <c r="S593" i="1"/>
  <c r="P593" i="1"/>
  <c r="O593" i="1"/>
  <c r="T592" i="1"/>
  <c r="S592" i="1"/>
  <c r="P592" i="1"/>
  <c r="O592" i="1"/>
  <c r="T591" i="1"/>
  <c r="S591" i="1"/>
  <c r="P591" i="1"/>
  <c r="O591" i="1"/>
  <c r="T590" i="1"/>
  <c r="S590" i="1"/>
  <c r="P590" i="1"/>
  <c r="O590" i="1"/>
  <c r="T589" i="1"/>
  <c r="S589" i="1"/>
  <c r="P589" i="1"/>
  <c r="O589" i="1"/>
  <c r="T588" i="1"/>
  <c r="S588" i="1"/>
  <c r="P588" i="1"/>
  <c r="O588" i="1"/>
  <c r="T587" i="1"/>
  <c r="S587" i="1"/>
  <c r="P587" i="1"/>
  <c r="O587" i="1"/>
  <c r="T586" i="1"/>
  <c r="S586" i="1"/>
  <c r="P586" i="1"/>
  <c r="O586" i="1"/>
  <c r="T585" i="1"/>
  <c r="S585" i="1"/>
  <c r="P585" i="1"/>
  <c r="O585" i="1"/>
  <c r="T584" i="1"/>
  <c r="S584" i="1"/>
  <c r="P584" i="1"/>
  <c r="O584" i="1"/>
  <c r="T583" i="1"/>
  <c r="S583" i="1"/>
  <c r="P583" i="1"/>
  <c r="O583" i="1"/>
  <c r="T582" i="1"/>
  <c r="S582" i="1"/>
  <c r="P582" i="1"/>
  <c r="O582" i="1"/>
  <c r="T581" i="1"/>
  <c r="S581" i="1"/>
  <c r="P581" i="1"/>
  <c r="O581" i="1"/>
  <c r="T580" i="1"/>
  <c r="S580" i="1"/>
  <c r="P580" i="1"/>
  <c r="O580" i="1"/>
  <c r="T579" i="1"/>
  <c r="S579" i="1"/>
  <c r="P579" i="1"/>
  <c r="O579" i="1"/>
  <c r="T578" i="1"/>
  <c r="S578" i="1"/>
  <c r="P578" i="1"/>
  <c r="O578" i="1"/>
  <c r="T577" i="1"/>
  <c r="S577" i="1"/>
  <c r="P577" i="1"/>
  <c r="O577" i="1"/>
  <c r="T576" i="1"/>
  <c r="S576" i="1"/>
  <c r="P576" i="1"/>
  <c r="O576" i="1"/>
  <c r="T575" i="1"/>
  <c r="S575" i="1"/>
  <c r="P575" i="1"/>
  <c r="O575" i="1"/>
  <c r="T574" i="1"/>
  <c r="S574" i="1"/>
  <c r="P574" i="1"/>
  <c r="O574" i="1"/>
  <c r="T573" i="1"/>
  <c r="S573" i="1"/>
  <c r="P573" i="1"/>
  <c r="O573" i="1"/>
  <c r="T572" i="1"/>
  <c r="S572" i="1"/>
  <c r="P572" i="1"/>
  <c r="O572" i="1"/>
  <c r="T571" i="1"/>
  <c r="S571" i="1"/>
  <c r="P571" i="1"/>
  <c r="O571" i="1"/>
  <c r="T570" i="1"/>
  <c r="S570" i="1"/>
  <c r="P570" i="1"/>
  <c r="O570" i="1"/>
  <c r="T569" i="1"/>
  <c r="S569" i="1"/>
  <c r="P569" i="1"/>
  <c r="O569" i="1"/>
  <c r="T568" i="1"/>
  <c r="S568" i="1"/>
  <c r="P568" i="1"/>
  <c r="O568" i="1"/>
  <c r="T567" i="1"/>
  <c r="S567" i="1"/>
  <c r="P567" i="1"/>
  <c r="O567" i="1"/>
  <c r="T566" i="1"/>
  <c r="S566" i="1"/>
  <c r="P566" i="1"/>
  <c r="O566" i="1"/>
  <c r="T565" i="1"/>
  <c r="S565" i="1"/>
  <c r="P565" i="1"/>
  <c r="O565" i="1"/>
  <c r="T564" i="1"/>
  <c r="S564" i="1"/>
  <c r="P564" i="1"/>
  <c r="O564" i="1"/>
  <c r="T563" i="1"/>
  <c r="S563" i="1"/>
  <c r="P563" i="1"/>
  <c r="O563" i="1"/>
  <c r="T562" i="1"/>
  <c r="S562" i="1"/>
  <c r="P562" i="1"/>
  <c r="O562" i="1"/>
  <c r="T561" i="1"/>
  <c r="S561" i="1"/>
  <c r="P561" i="1"/>
  <c r="O561" i="1"/>
  <c r="T560" i="1"/>
  <c r="S560" i="1"/>
  <c r="P560" i="1"/>
  <c r="O560" i="1"/>
  <c r="T559" i="1"/>
  <c r="S559" i="1"/>
  <c r="P559" i="1"/>
  <c r="O559" i="1"/>
  <c r="T558" i="1"/>
  <c r="S558" i="1"/>
  <c r="P558" i="1"/>
  <c r="O558" i="1"/>
  <c r="T557" i="1"/>
  <c r="S557" i="1"/>
  <c r="P557" i="1"/>
  <c r="O557" i="1"/>
  <c r="T556" i="1"/>
  <c r="S556" i="1"/>
  <c r="P556" i="1"/>
  <c r="O556" i="1"/>
  <c r="T555" i="1"/>
  <c r="S555" i="1"/>
  <c r="P555" i="1"/>
  <c r="O555" i="1"/>
  <c r="T554" i="1"/>
  <c r="S554" i="1"/>
  <c r="P554" i="1"/>
  <c r="O554" i="1"/>
  <c r="T553" i="1"/>
  <c r="S553" i="1"/>
  <c r="P553" i="1"/>
  <c r="O553" i="1"/>
  <c r="T552" i="1"/>
  <c r="S552" i="1"/>
  <c r="P552" i="1"/>
  <c r="O552" i="1"/>
  <c r="T551" i="1"/>
  <c r="S551" i="1"/>
  <c r="P551" i="1"/>
  <c r="O551" i="1"/>
  <c r="T550" i="1"/>
  <c r="S550" i="1"/>
  <c r="P550" i="1"/>
  <c r="O550" i="1"/>
  <c r="T549" i="1"/>
  <c r="S549" i="1"/>
  <c r="P549" i="1"/>
  <c r="O549" i="1"/>
  <c r="T548" i="1"/>
  <c r="S548" i="1"/>
  <c r="P548" i="1"/>
  <c r="O548" i="1"/>
  <c r="T547" i="1"/>
  <c r="S547" i="1"/>
  <c r="P547" i="1"/>
  <c r="O547" i="1"/>
  <c r="T546" i="1"/>
  <c r="S546" i="1"/>
  <c r="P546" i="1"/>
  <c r="O546" i="1"/>
  <c r="T545" i="1"/>
  <c r="S545" i="1"/>
  <c r="P545" i="1"/>
  <c r="O545" i="1"/>
  <c r="T544" i="1"/>
  <c r="S544" i="1"/>
  <c r="P544" i="1"/>
  <c r="O544" i="1"/>
  <c r="T543" i="1"/>
  <c r="S543" i="1"/>
  <c r="P543" i="1"/>
  <c r="O543" i="1"/>
  <c r="T542" i="1"/>
  <c r="S542" i="1"/>
  <c r="P542" i="1"/>
  <c r="O542" i="1"/>
  <c r="T541" i="1"/>
  <c r="S541" i="1"/>
  <c r="P541" i="1"/>
  <c r="O541" i="1"/>
  <c r="T540" i="1"/>
  <c r="S540" i="1"/>
  <c r="P540" i="1"/>
  <c r="O540" i="1"/>
  <c r="T539" i="1"/>
  <c r="S539" i="1"/>
  <c r="P539" i="1"/>
  <c r="O539" i="1"/>
  <c r="T538" i="1"/>
  <c r="S538" i="1"/>
  <c r="P538" i="1"/>
  <c r="O538" i="1"/>
  <c r="T537" i="1"/>
  <c r="S537" i="1"/>
  <c r="P537" i="1"/>
  <c r="O537" i="1"/>
  <c r="T536" i="1"/>
  <c r="S536" i="1"/>
  <c r="P536" i="1"/>
  <c r="O536" i="1"/>
  <c r="T535" i="1"/>
  <c r="S535" i="1"/>
  <c r="P535" i="1"/>
  <c r="O535" i="1"/>
  <c r="T534" i="1"/>
  <c r="S534" i="1"/>
  <c r="P534" i="1"/>
  <c r="O534" i="1"/>
  <c r="T533" i="1"/>
  <c r="S533" i="1"/>
  <c r="P533" i="1"/>
  <c r="O533" i="1"/>
  <c r="T532" i="1"/>
  <c r="S532" i="1"/>
  <c r="P532" i="1"/>
  <c r="O532" i="1"/>
  <c r="T531" i="1"/>
  <c r="S531" i="1"/>
  <c r="P531" i="1"/>
  <c r="O531" i="1"/>
  <c r="T530" i="1"/>
  <c r="S530" i="1"/>
  <c r="P530" i="1"/>
  <c r="O530" i="1"/>
  <c r="T529" i="1"/>
  <c r="S529" i="1"/>
  <c r="P529" i="1"/>
  <c r="O529" i="1"/>
  <c r="T528" i="1"/>
  <c r="S528" i="1"/>
  <c r="P528" i="1"/>
  <c r="O528" i="1"/>
  <c r="T527" i="1"/>
  <c r="S527" i="1"/>
  <c r="P527" i="1"/>
  <c r="O527" i="1"/>
  <c r="T526" i="1"/>
  <c r="S526" i="1"/>
  <c r="P526" i="1"/>
  <c r="O526" i="1"/>
  <c r="T525" i="1"/>
  <c r="S525" i="1"/>
  <c r="P525" i="1"/>
  <c r="O525" i="1"/>
  <c r="T524" i="1"/>
  <c r="S524" i="1"/>
  <c r="P524" i="1"/>
  <c r="O524" i="1"/>
  <c r="T523" i="1"/>
  <c r="S523" i="1"/>
  <c r="P523" i="1"/>
  <c r="O523" i="1"/>
  <c r="T522" i="1"/>
  <c r="S522" i="1"/>
  <c r="P522" i="1"/>
  <c r="O522" i="1"/>
  <c r="T521" i="1"/>
  <c r="S521" i="1"/>
  <c r="P521" i="1"/>
  <c r="O521" i="1"/>
  <c r="T520" i="1"/>
  <c r="S520" i="1"/>
  <c r="P520" i="1"/>
  <c r="O520" i="1"/>
  <c r="T519" i="1"/>
  <c r="S519" i="1"/>
  <c r="P519" i="1"/>
  <c r="O519" i="1"/>
  <c r="T518" i="1"/>
  <c r="S518" i="1"/>
  <c r="P518" i="1"/>
  <c r="O518" i="1"/>
  <c r="T517" i="1"/>
  <c r="S517" i="1"/>
  <c r="P517" i="1"/>
  <c r="O517" i="1"/>
  <c r="T516" i="1"/>
  <c r="S516" i="1"/>
  <c r="P516" i="1"/>
  <c r="O516" i="1"/>
  <c r="T515" i="1"/>
  <c r="S515" i="1"/>
  <c r="P515" i="1"/>
  <c r="O515" i="1"/>
  <c r="T514" i="1"/>
  <c r="S514" i="1"/>
  <c r="P514" i="1"/>
  <c r="O514" i="1"/>
  <c r="T513" i="1"/>
  <c r="S513" i="1"/>
  <c r="P513" i="1"/>
  <c r="O513" i="1"/>
  <c r="T512" i="1"/>
  <c r="S512" i="1"/>
  <c r="P512" i="1"/>
  <c r="O512" i="1"/>
  <c r="T511" i="1"/>
  <c r="S511" i="1"/>
  <c r="P511" i="1"/>
  <c r="O511" i="1"/>
  <c r="T510" i="1"/>
  <c r="S510" i="1"/>
  <c r="P510" i="1"/>
  <c r="O510" i="1"/>
  <c r="T509" i="1"/>
  <c r="S509" i="1"/>
  <c r="P509" i="1"/>
  <c r="O509" i="1"/>
  <c r="T508" i="1"/>
  <c r="S508" i="1"/>
  <c r="P508" i="1"/>
  <c r="O508" i="1"/>
  <c r="T507" i="1"/>
  <c r="S507" i="1"/>
  <c r="P507" i="1"/>
  <c r="O507" i="1"/>
  <c r="T506" i="1"/>
  <c r="S506" i="1"/>
  <c r="P506" i="1"/>
  <c r="O506" i="1"/>
  <c r="T505" i="1"/>
  <c r="S505" i="1"/>
  <c r="P505" i="1"/>
  <c r="O505" i="1"/>
  <c r="T504" i="1"/>
  <c r="S504" i="1"/>
  <c r="P504" i="1"/>
  <c r="O504" i="1"/>
  <c r="T503" i="1"/>
  <c r="S503" i="1"/>
  <c r="P503" i="1"/>
  <c r="O503" i="1"/>
  <c r="T502" i="1"/>
  <c r="S502" i="1"/>
  <c r="O502" i="1"/>
  <c r="T501" i="1"/>
  <c r="S501" i="1"/>
  <c r="P501" i="1"/>
  <c r="O501" i="1"/>
  <c r="T500" i="1"/>
  <c r="S500" i="1"/>
  <c r="P500" i="1"/>
  <c r="O500" i="1"/>
  <c r="T499" i="1"/>
  <c r="S499" i="1"/>
  <c r="P499" i="1"/>
  <c r="O499" i="1"/>
  <c r="T498" i="1"/>
  <c r="S498" i="1"/>
  <c r="P498" i="1"/>
  <c r="O498" i="1"/>
  <c r="T497" i="1"/>
  <c r="S497" i="1"/>
  <c r="P497" i="1"/>
  <c r="O497" i="1"/>
  <c r="T496" i="1"/>
  <c r="S496" i="1"/>
  <c r="P496" i="1"/>
  <c r="O496" i="1"/>
  <c r="T495" i="1"/>
  <c r="S495" i="1"/>
  <c r="P495" i="1"/>
  <c r="O495" i="1"/>
  <c r="T494" i="1"/>
  <c r="S494" i="1"/>
  <c r="P494" i="1"/>
  <c r="O494" i="1"/>
  <c r="T493" i="1"/>
  <c r="S493" i="1"/>
  <c r="P493" i="1"/>
  <c r="O493" i="1"/>
  <c r="T492" i="1"/>
  <c r="S492" i="1"/>
  <c r="P492" i="1"/>
  <c r="O492" i="1"/>
  <c r="T491" i="1"/>
  <c r="S491" i="1"/>
  <c r="P491" i="1"/>
  <c r="O491" i="1"/>
  <c r="T490" i="1"/>
  <c r="S490" i="1"/>
  <c r="P490" i="1"/>
  <c r="O490" i="1"/>
  <c r="T489" i="1"/>
  <c r="S489" i="1"/>
  <c r="P489" i="1"/>
  <c r="O489" i="1"/>
  <c r="T488" i="1"/>
  <c r="S488" i="1"/>
  <c r="P488" i="1"/>
  <c r="O488" i="1"/>
  <c r="T487" i="1"/>
  <c r="S487" i="1"/>
  <c r="P487" i="1"/>
  <c r="O487" i="1"/>
  <c r="T486" i="1"/>
  <c r="S486" i="1"/>
  <c r="P486" i="1"/>
  <c r="O486" i="1"/>
  <c r="T485" i="1"/>
  <c r="S485" i="1"/>
  <c r="P485" i="1"/>
  <c r="O485" i="1"/>
  <c r="T484" i="1"/>
  <c r="S484" i="1"/>
  <c r="P484" i="1"/>
  <c r="O484" i="1"/>
  <c r="T483" i="1"/>
  <c r="S483" i="1"/>
  <c r="P483" i="1"/>
  <c r="O483" i="1"/>
  <c r="T482" i="1"/>
  <c r="S482" i="1"/>
  <c r="P482" i="1"/>
  <c r="O482" i="1"/>
  <c r="T481" i="1"/>
  <c r="S481" i="1"/>
  <c r="P481" i="1"/>
  <c r="O481" i="1"/>
  <c r="T480" i="1"/>
  <c r="S480" i="1"/>
  <c r="P480" i="1"/>
  <c r="O480" i="1"/>
  <c r="T479" i="1"/>
  <c r="S479" i="1"/>
  <c r="P479" i="1"/>
  <c r="O479" i="1"/>
  <c r="T478" i="1"/>
  <c r="S478" i="1"/>
  <c r="P478" i="1"/>
  <c r="O478" i="1"/>
  <c r="T477" i="1"/>
  <c r="S477" i="1"/>
  <c r="P477" i="1"/>
  <c r="O477" i="1"/>
  <c r="T476" i="1"/>
  <c r="S476" i="1"/>
  <c r="P476" i="1"/>
  <c r="O476" i="1"/>
  <c r="T475" i="1"/>
  <c r="S475" i="1"/>
  <c r="P475" i="1"/>
  <c r="O475" i="1"/>
  <c r="T474" i="1"/>
  <c r="S474" i="1"/>
  <c r="P474" i="1"/>
  <c r="O474" i="1"/>
  <c r="T473" i="1"/>
  <c r="S473" i="1"/>
  <c r="P473" i="1"/>
  <c r="O473" i="1"/>
  <c r="T472" i="1"/>
  <c r="S472" i="1"/>
  <c r="P472" i="1"/>
  <c r="O472" i="1"/>
  <c r="T471" i="1"/>
  <c r="S471" i="1"/>
  <c r="P471" i="1"/>
  <c r="O471" i="1"/>
  <c r="T470" i="1"/>
  <c r="S470" i="1"/>
  <c r="P470" i="1"/>
  <c r="O470" i="1"/>
  <c r="T469" i="1"/>
  <c r="S469" i="1"/>
  <c r="P469" i="1"/>
  <c r="O469" i="1"/>
  <c r="T468" i="1"/>
  <c r="S468" i="1"/>
  <c r="P468" i="1"/>
  <c r="O468" i="1"/>
  <c r="T467" i="1"/>
  <c r="S467" i="1"/>
  <c r="P467" i="1"/>
  <c r="O467" i="1"/>
  <c r="T466" i="1"/>
  <c r="S466" i="1"/>
  <c r="P466" i="1"/>
  <c r="O466" i="1"/>
  <c r="T465" i="1"/>
  <c r="S465" i="1"/>
  <c r="P465" i="1"/>
  <c r="O465" i="1"/>
  <c r="T464" i="1"/>
  <c r="S464" i="1"/>
  <c r="P464" i="1"/>
  <c r="O464" i="1"/>
  <c r="T463" i="1"/>
  <c r="S463" i="1"/>
  <c r="P463" i="1"/>
  <c r="O463" i="1"/>
  <c r="T462" i="1"/>
  <c r="S462" i="1"/>
  <c r="P462" i="1"/>
  <c r="O462" i="1"/>
  <c r="T461" i="1"/>
  <c r="S461" i="1"/>
  <c r="P461" i="1"/>
  <c r="O461" i="1"/>
  <c r="T460" i="1"/>
  <c r="S460" i="1"/>
  <c r="P460" i="1"/>
  <c r="O460" i="1"/>
  <c r="T459" i="1"/>
  <c r="S459" i="1"/>
  <c r="P459" i="1"/>
  <c r="O459" i="1"/>
  <c r="T458" i="1"/>
  <c r="S458" i="1"/>
  <c r="P458" i="1"/>
  <c r="O458" i="1"/>
  <c r="T457" i="1"/>
  <c r="S457" i="1"/>
  <c r="P457" i="1"/>
  <c r="O457" i="1"/>
  <c r="T456" i="1"/>
  <c r="S456" i="1"/>
  <c r="P456" i="1"/>
  <c r="O456" i="1"/>
  <c r="T455" i="1"/>
  <c r="S455" i="1"/>
  <c r="P455" i="1"/>
  <c r="O455" i="1"/>
  <c r="T454" i="1"/>
  <c r="S454" i="1"/>
  <c r="P454" i="1"/>
  <c r="O454" i="1"/>
  <c r="T453" i="1"/>
  <c r="S453" i="1"/>
  <c r="P453" i="1"/>
  <c r="O453" i="1"/>
  <c r="T452" i="1"/>
  <c r="S452" i="1"/>
  <c r="P452" i="1"/>
  <c r="O452" i="1"/>
  <c r="T451" i="1"/>
  <c r="S451" i="1"/>
  <c r="P451" i="1"/>
  <c r="O451" i="1"/>
  <c r="T450" i="1"/>
  <c r="S450" i="1"/>
  <c r="P450" i="1"/>
  <c r="O450" i="1"/>
  <c r="T449" i="1"/>
  <c r="S449" i="1"/>
  <c r="P449" i="1"/>
  <c r="O449" i="1"/>
  <c r="T448" i="1"/>
  <c r="S448" i="1"/>
  <c r="P448" i="1"/>
  <c r="O448" i="1"/>
  <c r="T447" i="1"/>
  <c r="S447" i="1"/>
  <c r="P447" i="1"/>
  <c r="O447" i="1"/>
  <c r="T446" i="1"/>
  <c r="S446" i="1"/>
  <c r="P446" i="1"/>
  <c r="O446" i="1"/>
  <c r="T445" i="1"/>
  <c r="S445" i="1"/>
  <c r="P445" i="1"/>
  <c r="O445" i="1"/>
  <c r="T444" i="1"/>
  <c r="S444" i="1"/>
  <c r="P444" i="1"/>
  <c r="O444" i="1"/>
  <c r="T443" i="1"/>
  <c r="S443" i="1"/>
  <c r="P443" i="1"/>
  <c r="O443" i="1"/>
  <c r="T442" i="1"/>
  <c r="S442" i="1"/>
  <c r="P442" i="1"/>
  <c r="O442" i="1"/>
  <c r="T441" i="1"/>
  <c r="S441" i="1"/>
  <c r="P441" i="1"/>
  <c r="O441" i="1"/>
  <c r="T440" i="1"/>
  <c r="S440" i="1"/>
  <c r="P440" i="1"/>
  <c r="O440" i="1"/>
  <c r="T439" i="1"/>
  <c r="S439" i="1"/>
  <c r="P439" i="1"/>
  <c r="O439" i="1"/>
  <c r="T438" i="1"/>
  <c r="S438" i="1"/>
  <c r="P438" i="1"/>
  <c r="O438" i="1"/>
  <c r="T437" i="1"/>
  <c r="S437" i="1"/>
  <c r="P437" i="1"/>
  <c r="O437" i="1"/>
  <c r="T436" i="1"/>
  <c r="S436" i="1"/>
  <c r="P436" i="1"/>
  <c r="O436" i="1"/>
  <c r="T435" i="1"/>
  <c r="S435" i="1"/>
  <c r="P435" i="1"/>
  <c r="O435" i="1"/>
  <c r="T434" i="1"/>
  <c r="S434" i="1"/>
  <c r="P434" i="1"/>
  <c r="O434" i="1"/>
  <c r="T433" i="1"/>
  <c r="S433" i="1"/>
  <c r="P433" i="1"/>
  <c r="O433" i="1"/>
  <c r="T432" i="1"/>
  <c r="S432" i="1"/>
  <c r="P432" i="1"/>
  <c r="O432" i="1"/>
  <c r="T431" i="1"/>
  <c r="S431" i="1"/>
  <c r="P431" i="1"/>
  <c r="O431" i="1"/>
  <c r="T430" i="1"/>
  <c r="S430" i="1"/>
  <c r="P430" i="1"/>
  <c r="O430" i="1"/>
  <c r="T429" i="1"/>
  <c r="S429" i="1"/>
  <c r="P429" i="1"/>
  <c r="O429" i="1"/>
  <c r="T428" i="1"/>
  <c r="S428" i="1"/>
  <c r="P428" i="1"/>
  <c r="O428" i="1"/>
  <c r="T427" i="1"/>
  <c r="S427" i="1"/>
  <c r="P427" i="1"/>
  <c r="O427" i="1"/>
  <c r="T426" i="1"/>
  <c r="S426" i="1"/>
  <c r="P426" i="1"/>
  <c r="O426" i="1"/>
  <c r="T425" i="1"/>
  <c r="S425" i="1"/>
  <c r="P425" i="1"/>
  <c r="O425" i="1"/>
  <c r="T424" i="1"/>
  <c r="S424" i="1"/>
  <c r="P424" i="1"/>
  <c r="O424" i="1"/>
  <c r="T423" i="1"/>
  <c r="S423" i="1"/>
  <c r="P423" i="1"/>
  <c r="O423" i="1"/>
  <c r="T422" i="1"/>
  <c r="S422" i="1"/>
  <c r="P422" i="1"/>
  <c r="O422" i="1"/>
  <c r="T421" i="1"/>
  <c r="S421" i="1"/>
  <c r="P421" i="1"/>
  <c r="O421" i="1"/>
  <c r="T420" i="1"/>
  <c r="S420" i="1"/>
  <c r="P420" i="1"/>
  <c r="O420" i="1"/>
  <c r="T419" i="1"/>
  <c r="S419" i="1"/>
  <c r="P419" i="1"/>
  <c r="O419" i="1"/>
  <c r="T418" i="1"/>
  <c r="S418" i="1"/>
  <c r="P418" i="1"/>
  <c r="O418" i="1"/>
  <c r="T417" i="1"/>
  <c r="S417" i="1"/>
  <c r="P417" i="1"/>
  <c r="O417" i="1"/>
  <c r="T416" i="1"/>
  <c r="S416" i="1"/>
  <c r="P416" i="1"/>
  <c r="O416" i="1"/>
  <c r="T415" i="1"/>
  <c r="S415" i="1"/>
  <c r="P415" i="1"/>
  <c r="O415" i="1"/>
  <c r="T414" i="1"/>
  <c r="S414" i="1"/>
  <c r="P414" i="1"/>
  <c r="O414" i="1"/>
  <c r="T413" i="1"/>
  <c r="S413" i="1"/>
  <c r="P413" i="1"/>
  <c r="O413" i="1"/>
  <c r="T412" i="1"/>
  <c r="S412" i="1"/>
  <c r="P412" i="1"/>
  <c r="O412" i="1"/>
  <c r="T411" i="1"/>
  <c r="S411" i="1"/>
  <c r="P411" i="1"/>
  <c r="O411" i="1"/>
  <c r="T410" i="1"/>
  <c r="S410" i="1"/>
  <c r="P410" i="1"/>
  <c r="O410" i="1"/>
  <c r="T409" i="1"/>
  <c r="S409" i="1"/>
  <c r="P409" i="1"/>
  <c r="O409" i="1"/>
  <c r="T408" i="1"/>
  <c r="S408" i="1"/>
  <c r="P408" i="1"/>
  <c r="O408" i="1"/>
  <c r="T407" i="1"/>
  <c r="S407" i="1"/>
  <c r="P407" i="1"/>
  <c r="O407" i="1"/>
  <c r="T406" i="1"/>
  <c r="S406" i="1"/>
  <c r="P406" i="1"/>
  <c r="O406" i="1"/>
  <c r="T405" i="1"/>
  <c r="S405" i="1"/>
  <c r="P405" i="1"/>
  <c r="O405" i="1"/>
  <c r="T404" i="1"/>
  <c r="S404" i="1"/>
  <c r="P404" i="1"/>
  <c r="O404" i="1"/>
  <c r="T403" i="1"/>
  <c r="S403" i="1"/>
  <c r="P403" i="1"/>
  <c r="O403" i="1"/>
  <c r="T402" i="1"/>
  <c r="S402" i="1"/>
  <c r="P402" i="1"/>
  <c r="O402" i="1"/>
  <c r="T401" i="1"/>
  <c r="S401" i="1"/>
  <c r="P401" i="1"/>
  <c r="O401" i="1"/>
  <c r="T400" i="1"/>
  <c r="S400" i="1"/>
  <c r="P400" i="1"/>
  <c r="O400" i="1"/>
  <c r="T399" i="1"/>
  <c r="S399" i="1"/>
  <c r="P399" i="1"/>
  <c r="O399" i="1"/>
  <c r="T398" i="1"/>
  <c r="S398" i="1"/>
  <c r="P398" i="1"/>
  <c r="O398" i="1"/>
  <c r="T397" i="1"/>
  <c r="S397" i="1"/>
  <c r="P397" i="1"/>
  <c r="O397" i="1"/>
  <c r="T396" i="1"/>
  <c r="S396" i="1"/>
  <c r="P396" i="1"/>
  <c r="O396" i="1"/>
  <c r="T395" i="1"/>
  <c r="S395" i="1"/>
  <c r="P395" i="1"/>
  <c r="O395" i="1"/>
  <c r="T394" i="1"/>
  <c r="S394" i="1"/>
  <c r="P394" i="1"/>
  <c r="O394" i="1"/>
  <c r="T393" i="1"/>
  <c r="S393" i="1"/>
  <c r="P393" i="1"/>
  <c r="O393" i="1"/>
  <c r="T392" i="1"/>
  <c r="S392" i="1"/>
  <c r="P392" i="1"/>
  <c r="O392" i="1"/>
  <c r="T391" i="1"/>
  <c r="S391" i="1"/>
  <c r="P391" i="1"/>
  <c r="O391" i="1"/>
  <c r="T390" i="1"/>
  <c r="S390" i="1"/>
  <c r="P390" i="1"/>
  <c r="O390" i="1"/>
  <c r="T389" i="1"/>
  <c r="S389" i="1"/>
  <c r="P389" i="1"/>
  <c r="O389" i="1"/>
  <c r="T388" i="1"/>
  <c r="S388" i="1"/>
  <c r="P388" i="1"/>
  <c r="O388" i="1"/>
  <c r="T387" i="1"/>
  <c r="S387" i="1"/>
  <c r="P387" i="1"/>
  <c r="O387" i="1"/>
  <c r="T386" i="1"/>
  <c r="S386" i="1"/>
  <c r="P386" i="1"/>
  <c r="O386" i="1"/>
  <c r="T385" i="1"/>
  <c r="S385" i="1"/>
  <c r="P385" i="1"/>
  <c r="O385" i="1"/>
  <c r="T384" i="1"/>
  <c r="S384" i="1"/>
  <c r="P384" i="1"/>
  <c r="O384" i="1"/>
  <c r="T383" i="1"/>
  <c r="S383" i="1"/>
  <c r="P383" i="1"/>
  <c r="O383" i="1"/>
  <c r="T382" i="1"/>
  <c r="S382" i="1"/>
  <c r="P382" i="1"/>
  <c r="O382" i="1"/>
  <c r="T381" i="1"/>
  <c r="S381" i="1"/>
  <c r="P381" i="1"/>
  <c r="O381" i="1"/>
  <c r="T380" i="1"/>
  <c r="S380" i="1"/>
  <c r="P380" i="1"/>
  <c r="O380" i="1"/>
  <c r="T379" i="1"/>
  <c r="S379" i="1"/>
  <c r="P379" i="1"/>
  <c r="O379" i="1"/>
  <c r="T378" i="1"/>
  <c r="S378" i="1"/>
  <c r="P378" i="1"/>
  <c r="O378" i="1"/>
  <c r="T377" i="1"/>
  <c r="S377" i="1"/>
  <c r="P377" i="1"/>
  <c r="O377" i="1"/>
  <c r="T376" i="1"/>
  <c r="S376" i="1"/>
  <c r="P376" i="1"/>
  <c r="O376" i="1"/>
  <c r="T375" i="1"/>
  <c r="S375" i="1"/>
  <c r="P375" i="1"/>
  <c r="O375" i="1"/>
  <c r="T374" i="1"/>
  <c r="S374" i="1"/>
  <c r="P374" i="1"/>
  <c r="O374" i="1"/>
  <c r="T373" i="1"/>
  <c r="S373" i="1"/>
  <c r="P373" i="1"/>
  <c r="O373" i="1"/>
  <c r="T372" i="1"/>
  <c r="S372" i="1"/>
  <c r="P372" i="1"/>
  <c r="O372" i="1"/>
  <c r="T371" i="1"/>
  <c r="S371" i="1"/>
  <c r="P371" i="1"/>
  <c r="O371" i="1"/>
  <c r="T370" i="1"/>
  <c r="S370" i="1"/>
  <c r="P370" i="1"/>
  <c r="O370" i="1"/>
  <c r="T369" i="1"/>
  <c r="S369" i="1"/>
  <c r="P369" i="1"/>
  <c r="O369" i="1"/>
  <c r="T368" i="1"/>
  <c r="S368" i="1"/>
  <c r="P368" i="1"/>
  <c r="O368" i="1"/>
  <c r="T367" i="1"/>
  <c r="S367" i="1"/>
  <c r="P367" i="1"/>
  <c r="O367" i="1"/>
  <c r="T366" i="1"/>
  <c r="S366" i="1"/>
  <c r="P366" i="1"/>
  <c r="O366" i="1"/>
  <c r="T365" i="1"/>
  <c r="S365" i="1"/>
  <c r="P365" i="1"/>
  <c r="O365" i="1"/>
  <c r="T364" i="1"/>
  <c r="S364" i="1"/>
  <c r="P364" i="1"/>
  <c r="O364" i="1"/>
  <c r="T363" i="1"/>
  <c r="S363" i="1"/>
  <c r="P363" i="1"/>
  <c r="O363" i="1"/>
  <c r="T362" i="1"/>
  <c r="S362" i="1"/>
  <c r="P362" i="1"/>
  <c r="O362" i="1"/>
  <c r="T361" i="1"/>
  <c r="S361" i="1"/>
  <c r="P361" i="1"/>
  <c r="O361" i="1"/>
  <c r="T360" i="1"/>
  <c r="S360" i="1"/>
  <c r="P360" i="1"/>
  <c r="O360" i="1"/>
  <c r="T359" i="1"/>
  <c r="S359" i="1"/>
  <c r="P359" i="1"/>
  <c r="O359" i="1"/>
  <c r="T358" i="1"/>
  <c r="S358" i="1"/>
  <c r="P358" i="1"/>
  <c r="O358" i="1"/>
  <c r="T357" i="1"/>
  <c r="S357" i="1"/>
  <c r="P357" i="1"/>
  <c r="O357" i="1"/>
  <c r="T356" i="1"/>
  <c r="S356" i="1"/>
  <c r="P356" i="1"/>
  <c r="O356" i="1"/>
  <c r="T355" i="1"/>
  <c r="S355" i="1"/>
  <c r="P355" i="1"/>
  <c r="O355" i="1"/>
  <c r="T354" i="1"/>
  <c r="S354" i="1"/>
  <c r="P354" i="1"/>
  <c r="O354" i="1"/>
  <c r="T353" i="1"/>
  <c r="S353" i="1"/>
  <c r="P353" i="1"/>
  <c r="O353" i="1"/>
  <c r="T352" i="1"/>
  <c r="S352" i="1"/>
  <c r="P352" i="1"/>
  <c r="O352" i="1"/>
  <c r="T351" i="1"/>
  <c r="S351" i="1"/>
  <c r="P351" i="1"/>
  <c r="O351" i="1"/>
  <c r="T350" i="1"/>
  <c r="S350" i="1"/>
  <c r="P350" i="1"/>
  <c r="O350" i="1"/>
  <c r="T349" i="1"/>
  <c r="S349" i="1"/>
  <c r="P349" i="1"/>
  <c r="O349" i="1"/>
  <c r="T348" i="1"/>
  <c r="S348" i="1"/>
  <c r="P348" i="1"/>
  <c r="O348" i="1"/>
  <c r="T347" i="1"/>
  <c r="S347" i="1"/>
  <c r="P347" i="1"/>
  <c r="O347" i="1"/>
  <c r="T346" i="1"/>
  <c r="S346" i="1"/>
  <c r="P346" i="1"/>
  <c r="O346" i="1"/>
  <c r="T345" i="1"/>
  <c r="S345" i="1"/>
  <c r="P345" i="1"/>
  <c r="O345" i="1"/>
  <c r="T344" i="1"/>
  <c r="S344" i="1"/>
  <c r="P344" i="1"/>
  <c r="O344" i="1"/>
  <c r="T343" i="1"/>
  <c r="S343" i="1"/>
  <c r="P343" i="1"/>
  <c r="O343" i="1"/>
  <c r="T342" i="1"/>
  <c r="S342" i="1"/>
  <c r="P342" i="1"/>
  <c r="O342" i="1"/>
  <c r="T341" i="1"/>
  <c r="S341" i="1"/>
  <c r="P341" i="1"/>
  <c r="O341" i="1"/>
  <c r="T340" i="1"/>
  <c r="S340" i="1"/>
  <c r="P340" i="1"/>
  <c r="O340" i="1"/>
  <c r="T339" i="1"/>
  <c r="S339" i="1"/>
  <c r="P339" i="1"/>
  <c r="O339" i="1"/>
  <c r="T338" i="1"/>
  <c r="S338" i="1"/>
  <c r="P338" i="1"/>
  <c r="O338" i="1"/>
  <c r="T337" i="1"/>
  <c r="S337" i="1"/>
  <c r="P337" i="1"/>
  <c r="O337" i="1"/>
  <c r="T336" i="1"/>
  <c r="S336" i="1"/>
  <c r="P336" i="1"/>
  <c r="O336" i="1"/>
  <c r="T335" i="1"/>
  <c r="S335" i="1"/>
  <c r="P335" i="1"/>
  <c r="O335" i="1"/>
  <c r="T334" i="1"/>
  <c r="S334" i="1"/>
  <c r="P334" i="1"/>
  <c r="O334" i="1"/>
  <c r="T333" i="1"/>
  <c r="S333" i="1"/>
  <c r="P333" i="1"/>
  <c r="O333" i="1"/>
  <c r="T332" i="1"/>
  <c r="S332" i="1"/>
  <c r="P332" i="1"/>
  <c r="O332" i="1"/>
  <c r="T331" i="1"/>
  <c r="S331" i="1"/>
  <c r="P331" i="1"/>
  <c r="O331" i="1"/>
  <c r="T330" i="1"/>
  <c r="S330" i="1"/>
  <c r="P330" i="1"/>
  <c r="O330" i="1"/>
  <c r="T329" i="1"/>
  <c r="S329" i="1"/>
  <c r="P329" i="1"/>
  <c r="O329" i="1"/>
  <c r="T328" i="1"/>
  <c r="S328" i="1"/>
  <c r="P328" i="1"/>
  <c r="O328" i="1"/>
  <c r="T327" i="1"/>
  <c r="S327" i="1"/>
  <c r="P327" i="1"/>
  <c r="O327" i="1"/>
  <c r="T326" i="1"/>
  <c r="S326" i="1"/>
  <c r="P326" i="1"/>
  <c r="O326" i="1"/>
  <c r="T325" i="1"/>
  <c r="S325" i="1"/>
  <c r="P325" i="1"/>
  <c r="O325" i="1"/>
  <c r="T324" i="1"/>
  <c r="S324" i="1"/>
  <c r="P324" i="1"/>
  <c r="O324" i="1"/>
  <c r="T323" i="1"/>
  <c r="S323" i="1"/>
  <c r="P323" i="1"/>
  <c r="O323" i="1"/>
  <c r="T322" i="1"/>
  <c r="S322" i="1"/>
  <c r="P322" i="1"/>
  <c r="O322" i="1"/>
  <c r="T321" i="1"/>
  <c r="S321" i="1"/>
  <c r="P321" i="1"/>
  <c r="O321" i="1"/>
  <c r="T320" i="1"/>
  <c r="S320" i="1"/>
  <c r="P320" i="1"/>
  <c r="O320" i="1"/>
  <c r="T319" i="1"/>
  <c r="S319" i="1"/>
  <c r="P319" i="1"/>
  <c r="O319" i="1"/>
  <c r="T318" i="1"/>
  <c r="S318" i="1"/>
  <c r="P318" i="1"/>
  <c r="O318" i="1"/>
  <c r="T317" i="1"/>
  <c r="S317" i="1"/>
  <c r="P317" i="1"/>
  <c r="O317" i="1"/>
  <c r="T316" i="1"/>
  <c r="S316" i="1"/>
  <c r="P316" i="1"/>
  <c r="O316" i="1"/>
  <c r="T315" i="1"/>
  <c r="S315" i="1"/>
  <c r="P315" i="1"/>
  <c r="O315" i="1"/>
  <c r="T314" i="1"/>
  <c r="S314" i="1"/>
  <c r="P314" i="1"/>
  <c r="O314" i="1"/>
  <c r="T313" i="1"/>
  <c r="S313" i="1"/>
  <c r="P313" i="1"/>
  <c r="O313" i="1"/>
  <c r="T312" i="1"/>
  <c r="S312" i="1"/>
  <c r="P312" i="1"/>
  <c r="O312" i="1"/>
  <c r="T311" i="1"/>
  <c r="S311" i="1"/>
  <c r="P311" i="1"/>
  <c r="O311" i="1"/>
  <c r="T310" i="1"/>
  <c r="S310" i="1"/>
  <c r="P310" i="1"/>
  <c r="O310" i="1"/>
  <c r="T309" i="1"/>
  <c r="S309" i="1"/>
  <c r="P309" i="1"/>
  <c r="O309" i="1"/>
  <c r="T308" i="1"/>
  <c r="S308" i="1"/>
  <c r="P308" i="1"/>
  <c r="O308" i="1"/>
  <c r="T307" i="1"/>
  <c r="S307" i="1"/>
  <c r="P307" i="1"/>
  <c r="O307" i="1"/>
  <c r="T306" i="1"/>
  <c r="S306" i="1"/>
  <c r="P306" i="1"/>
  <c r="O306" i="1"/>
  <c r="T305" i="1"/>
  <c r="S305" i="1"/>
  <c r="P305" i="1"/>
  <c r="O305" i="1"/>
  <c r="T304" i="1"/>
  <c r="S304" i="1"/>
  <c r="P304" i="1"/>
  <c r="O304" i="1"/>
  <c r="T303" i="1"/>
  <c r="S303" i="1"/>
  <c r="P303" i="1"/>
  <c r="O303" i="1"/>
  <c r="T302" i="1"/>
  <c r="S302" i="1"/>
  <c r="P302" i="1"/>
  <c r="O302" i="1"/>
  <c r="T301" i="1"/>
  <c r="S301" i="1"/>
  <c r="P301" i="1"/>
  <c r="O301" i="1"/>
  <c r="T300" i="1"/>
  <c r="S300" i="1"/>
  <c r="P300" i="1"/>
  <c r="O300" i="1"/>
  <c r="T299" i="1"/>
  <c r="S299" i="1"/>
  <c r="P299" i="1"/>
  <c r="O299" i="1"/>
  <c r="T298" i="1"/>
  <c r="S298" i="1"/>
  <c r="P298" i="1"/>
  <c r="O298" i="1"/>
  <c r="T297" i="1"/>
  <c r="S297" i="1"/>
  <c r="P297" i="1"/>
  <c r="O297" i="1"/>
  <c r="T296" i="1"/>
  <c r="S296" i="1"/>
  <c r="P296" i="1"/>
  <c r="O296" i="1"/>
  <c r="T295" i="1"/>
  <c r="S295" i="1"/>
  <c r="P295" i="1"/>
  <c r="O295" i="1"/>
  <c r="T294" i="1"/>
  <c r="S294" i="1"/>
  <c r="P294" i="1"/>
  <c r="O294" i="1"/>
  <c r="T293" i="1"/>
  <c r="S293" i="1"/>
  <c r="P293" i="1"/>
  <c r="O293" i="1"/>
  <c r="T292" i="1"/>
  <c r="S292" i="1"/>
  <c r="P292" i="1"/>
  <c r="O292" i="1"/>
  <c r="T291" i="1"/>
  <c r="S291" i="1"/>
  <c r="P291" i="1"/>
  <c r="O291" i="1"/>
  <c r="T290" i="1"/>
  <c r="S290" i="1"/>
  <c r="P290" i="1"/>
  <c r="O290" i="1"/>
  <c r="T289" i="1"/>
  <c r="S289" i="1"/>
  <c r="P289" i="1"/>
  <c r="O289" i="1"/>
  <c r="T288" i="1"/>
  <c r="S288" i="1"/>
  <c r="P288" i="1"/>
  <c r="O288" i="1"/>
  <c r="T287" i="1"/>
  <c r="S287" i="1"/>
  <c r="P287" i="1"/>
  <c r="O287" i="1"/>
  <c r="T286" i="1"/>
  <c r="S286" i="1"/>
  <c r="P286" i="1"/>
  <c r="O286" i="1"/>
  <c r="T285" i="1"/>
  <c r="S285" i="1"/>
  <c r="P285" i="1"/>
  <c r="O285" i="1"/>
  <c r="T284" i="1"/>
  <c r="S284" i="1"/>
  <c r="P284" i="1"/>
  <c r="O284" i="1"/>
  <c r="T283" i="1"/>
  <c r="S283" i="1"/>
  <c r="P283" i="1"/>
  <c r="O283" i="1"/>
  <c r="T282" i="1"/>
  <c r="S282" i="1"/>
  <c r="P282" i="1"/>
  <c r="O282" i="1"/>
  <c r="T281" i="1"/>
  <c r="S281" i="1"/>
  <c r="P281" i="1"/>
  <c r="O281" i="1"/>
  <c r="T280" i="1"/>
  <c r="S280" i="1"/>
  <c r="P280" i="1"/>
  <c r="O280" i="1"/>
  <c r="T279" i="1"/>
  <c r="S279" i="1"/>
  <c r="P279" i="1"/>
  <c r="O279" i="1"/>
  <c r="T278" i="1"/>
  <c r="S278" i="1"/>
  <c r="P278" i="1"/>
  <c r="O278" i="1"/>
  <c r="T277" i="1"/>
  <c r="S277" i="1"/>
  <c r="P277" i="1"/>
  <c r="O277" i="1"/>
  <c r="T276" i="1"/>
  <c r="S276" i="1"/>
  <c r="P276" i="1"/>
  <c r="O276" i="1"/>
  <c r="T275" i="1"/>
  <c r="S275" i="1"/>
  <c r="P275" i="1"/>
  <c r="O275" i="1"/>
  <c r="T274" i="1"/>
  <c r="S274" i="1"/>
  <c r="P274" i="1"/>
  <c r="O274" i="1"/>
  <c r="T273" i="1"/>
  <c r="S273" i="1"/>
  <c r="P273" i="1"/>
  <c r="O273" i="1"/>
  <c r="T272" i="1"/>
  <c r="S272" i="1"/>
  <c r="P272" i="1"/>
  <c r="O272" i="1"/>
  <c r="T271" i="1"/>
  <c r="S271" i="1"/>
  <c r="P271" i="1"/>
  <c r="O271" i="1"/>
  <c r="T270" i="1"/>
  <c r="S270" i="1"/>
  <c r="P270" i="1"/>
  <c r="O270" i="1"/>
  <c r="T269" i="1"/>
  <c r="S269" i="1"/>
  <c r="P269" i="1"/>
  <c r="O269" i="1"/>
  <c r="T268" i="1"/>
  <c r="S268" i="1"/>
  <c r="P268" i="1"/>
  <c r="O268" i="1"/>
  <c r="T267" i="1"/>
  <c r="S267" i="1"/>
  <c r="P267" i="1"/>
  <c r="O267" i="1"/>
  <c r="T266" i="1"/>
  <c r="S266" i="1"/>
  <c r="P266" i="1"/>
  <c r="O266" i="1"/>
  <c r="T265" i="1"/>
  <c r="S265" i="1"/>
  <c r="P265" i="1"/>
  <c r="O265" i="1"/>
  <c r="T264" i="1"/>
  <c r="S264" i="1"/>
  <c r="P264" i="1"/>
  <c r="O264" i="1"/>
  <c r="T263" i="1"/>
  <c r="S263" i="1"/>
  <c r="P263" i="1"/>
  <c r="O263" i="1"/>
  <c r="T262" i="1"/>
  <c r="S262" i="1"/>
  <c r="P262" i="1"/>
  <c r="O262" i="1"/>
  <c r="T261" i="1"/>
  <c r="S261" i="1"/>
  <c r="P261" i="1"/>
  <c r="O261" i="1"/>
  <c r="T260" i="1"/>
  <c r="S260" i="1"/>
  <c r="P260" i="1"/>
  <c r="O260" i="1"/>
  <c r="T259" i="1"/>
  <c r="S259" i="1"/>
  <c r="P259" i="1"/>
  <c r="O259" i="1"/>
  <c r="T258" i="1"/>
  <c r="S258" i="1"/>
  <c r="P258" i="1"/>
  <c r="O258" i="1"/>
  <c r="T257" i="1"/>
  <c r="S257" i="1"/>
  <c r="P257" i="1"/>
  <c r="O257" i="1"/>
  <c r="T256" i="1"/>
  <c r="S256" i="1"/>
  <c r="P256" i="1"/>
  <c r="O256" i="1"/>
  <c r="T255" i="1"/>
  <c r="S255" i="1"/>
  <c r="P255" i="1"/>
  <c r="O255" i="1"/>
  <c r="T254" i="1"/>
  <c r="S254" i="1"/>
  <c r="P254" i="1"/>
  <c r="O254" i="1"/>
  <c r="T253" i="1"/>
  <c r="S253" i="1"/>
  <c r="P253" i="1"/>
  <c r="O253" i="1"/>
  <c r="T252" i="1"/>
  <c r="S252" i="1"/>
  <c r="P252" i="1"/>
  <c r="O252" i="1"/>
  <c r="T251" i="1"/>
  <c r="S251" i="1"/>
  <c r="P251" i="1"/>
  <c r="O251" i="1"/>
  <c r="T250" i="1"/>
  <c r="S250" i="1"/>
  <c r="P250" i="1"/>
  <c r="O250" i="1"/>
  <c r="T249" i="1"/>
  <c r="S249" i="1"/>
  <c r="P249" i="1"/>
  <c r="O249" i="1"/>
  <c r="T248" i="1"/>
  <c r="S248" i="1"/>
  <c r="P248" i="1"/>
  <c r="O248" i="1"/>
  <c r="T247" i="1"/>
  <c r="S247" i="1"/>
  <c r="P247" i="1"/>
  <c r="O247" i="1"/>
  <c r="T246" i="1"/>
  <c r="S246" i="1"/>
  <c r="P246" i="1"/>
  <c r="O246" i="1"/>
  <c r="T245" i="1"/>
  <c r="S245" i="1"/>
  <c r="P245" i="1"/>
  <c r="O245" i="1"/>
  <c r="T244" i="1"/>
  <c r="S244" i="1"/>
  <c r="P244" i="1"/>
  <c r="O244" i="1"/>
  <c r="T243" i="1"/>
  <c r="S243" i="1"/>
  <c r="P243" i="1"/>
  <c r="O243" i="1"/>
  <c r="T242" i="1"/>
  <c r="S242" i="1"/>
  <c r="P242" i="1"/>
  <c r="O242" i="1"/>
  <c r="T241" i="1"/>
  <c r="S241" i="1"/>
  <c r="P241" i="1"/>
  <c r="O241" i="1"/>
  <c r="T240" i="1"/>
  <c r="S240" i="1"/>
  <c r="P240" i="1"/>
  <c r="O240" i="1"/>
  <c r="T239" i="1"/>
  <c r="S239" i="1"/>
  <c r="P239" i="1"/>
  <c r="O239" i="1"/>
  <c r="T238" i="1"/>
  <c r="S238" i="1"/>
  <c r="P238" i="1"/>
  <c r="O238" i="1"/>
  <c r="T237" i="1"/>
  <c r="S237" i="1"/>
  <c r="P237" i="1"/>
  <c r="O237" i="1"/>
  <c r="T236" i="1"/>
  <c r="S236" i="1"/>
  <c r="P236" i="1"/>
  <c r="O236" i="1"/>
  <c r="T235" i="1"/>
  <c r="S235" i="1"/>
  <c r="P235" i="1"/>
  <c r="O235" i="1"/>
  <c r="T234" i="1"/>
  <c r="S234" i="1"/>
  <c r="P234" i="1"/>
  <c r="O234" i="1"/>
  <c r="T233" i="1"/>
  <c r="S233" i="1"/>
  <c r="P233" i="1"/>
  <c r="O233" i="1"/>
  <c r="T232" i="1"/>
  <c r="S232" i="1"/>
  <c r="P232" i="1"/>
  <c r="O232" i="1"/>
  <c r="T231" i="1"/>
  <c r="S231" i="1"/>
  <c r="P231" i="1"/>
  <c r="O231" i="1"/>
  <c r="T230" i="1"/>
  <c r="S230" i="1"/>
  <c r="P230" i="1"/>
  <c r="O230" i="1"/>
  <c r="T229" i="1"/>
  <c r="S229" i="1"/>
  <c r="P229" i="1"/>
  <c r="O229" i="1"/>
  <c r="T228" i="1"/>
  <c r="S228" i="1"/>
  <c r="P228" i="1"/>
  <c r="O228" i="1"/>
  <c r="T227" i="1"/>
  <c r="S227" i="1"/>
  <c r="P227" i="1"/>
  <c r="O227" i="1"/>
  <c r="T226" i="1"/>
  <c r="S226" i="1"/>
  <c r="P226" i="1"/>
  <c r="O226" i="1"/>
  <c r="T225" i="1"/>
  <c r="S225" i="1"/>
  <c r="P225" i="1"/>
  <c r="O225" i="1"/>
  <c r="T224" i="1"/>
  <c r="S224" i="1"/>
  <c r="P224" i="1"/>
  <c r="O224" i="1"/>
  <c r="T223" i="1"/>
  <c r="S223" i="1"/>
  <c r="P223" i="1"/>
  <c r="O223" i="1"/>
  <c r="T222" i="1"/>
  <c r="S222" i="1"/>
  <c r="P222" i="1"/>
  <c r="O222" i="1"/>
  <c r="T221" i="1"/>
  <c r="S221" i="1"/>
  <c r="P221" i="1"/>
  <c r="O221" i="1"/>
  <c r="T220" i="1"/>
  <c r="S220" i="1"/>
  <c r="P220" i="1"/>
  <c r="O220" i="1"/>
  <c r="T219" i="1"/>
  <c r="S219" i="1"/>
  <c r="P219" i="1"/>
  <c r="O219" i="1"/>
  <c r="T218" i="1"/>
  <c r="S218" i="1"/>
  <c r="P218" i="1"/>
  <c r="O218" i="1"/>
  <c r="T217" i="1"/>
  <c r="S217" i="1"/>
  <c r="P217" i="1"/>
  <c r="O217" i="1"/>
  <c r="T216" i="1"/>
  <c r="S216" i="1"/>
  <c r="P216" i="1"/>
  <c r="O216" i="1"/>
  <c r="T215" i="1"/>
  <c r="S215" i="1"/>
  <c r="P215" i="1"/>
  <c r="O215" i="1"/>
  <c r="T214" i="1"/>
  <c r="S214" i="1"/>
  <c r="P214" i="1"/>
  <c r="O214" i="1"/>
  <c r="T213" i="1"/>
  <c r="S213" i="1"/>
  <c r="P213" i="1"/>
  <c r="O213" i="1"/>
  <c r="T212" i="1"/>
  <c r="S212" i="1"/>
  <c r="P212" i="1"/>
  <c r="O212" i="1"/>
  <c r="T211" i="1"/>
  <c r="S211" i="1"/>
  <c r="P211" i="1"/>
  <c r="O211" i="1"/>
  <c r="T210" i="1"/>
  <c r="S210" i="1"/>
  <c r="P210" i="1"/>
  <c r="O210" i="1"/>
  <c r="T209" i="1"/>
  <c r="S209" i="1"/>
  <c r="P209" i="1"/>
  <c r="O209" i="1"/>
  <c r="T208" i="1"/>
  <c r="S208" i="1"/>
  <c r="P208" i="1"/>
  <c r="O208" i="1"/>
  <c r="T207" i="1"/>
  <c r="S207" i="1"/>
  <c r="P207" i="1"/>
  <c r="O207" i="1"/>
  <c r="T206" i="1"/>
  <c r="S206" i="1"/>
  <c r="P206" i="1"/>
  <c r="O206" i="1"/>
  <c r="T205" i="1"/>
  <c r="S205" i="1"/>
  <c r="P205" i="1"/>
  <c r="O205" i="1"/>
  <c r="T204" i="1"/>
  <c r="S204" i="1"/>
  <c r="P204" i="1"/>
  <c r="O204" i="1"/>
  <c r="T203" i="1"/>
  <c r="S203" i="1"/>
  <c r="P203" i="1"/>
  <c r="O203" i="1"/>
  <c r="T202" i="1"/>
  <c r="S202" i="1"/>
  <c r="P202" i="1"/>
  <c r="O202" i="1"/>
  <c r="T201" i="1"/>
  <c r="S201" i="1"/>
  <c r="P201" i="1"/>
  <c r="O201" i="1"/>
  <c r="T200" i="1"/>
  <c r="S200" i="1"/>
  <c r="P200" i="1"/>
  <c r="O200" i="1"/>
  <c r="T199" i="1"/>
  <c r="S199" i="1"/>
  <c r="P199" i="1"/>
  <c r="O199" i="1"/>
  <c r="T198" i="1"/>
  <c r="S198" i="1"/>
  <c r="P198" i="1"/>
  <c r="O198" i="1"/>
  <c r="T197" i="1"/>
  <c r="S197" i="1"/>
  <c r="P197" i="1"/>
  <c r="O197" i="1"/>
  <c r="T196" i="1"/>
  <c r="S196" i="1"/>
  <c r="P196" i="1"/>
  <c r="O196" i="1"/>
  <c r="T195" i="1"/>
  <c r="S195" i="1"/>
  <c r="P195" i="1"/>
  <c r="O195" i="1"/>
  <c r="T194" i="1"/>
  <c r="S194" i="1"/>
  <c r="P194" i="1"/>
  <c r="O194" i="1"/>
  <c r="T193" i="1"/>
  <c r="S193" i="1"/>
  <c r="P193" i="1"/>
  <c r="O193" i="1"/>
  <c r="T192" i="1"/>
  <c r="S192" i="1"/>
  <c r="P192" i="1"/>
  <c r="O192" i="1"/>
  <c r="T191" i="1"/>
  <c r="S191" i="1"/>
  <c r="P191" i="1"/>
  <c r="O191" i="1"/>
  <c r="T190" i="1"/>
  <c r="S190" i="1"/>
  <c r="P190" i="1"/>
  <c r="O190" i="1"/>
  <c r="T189" i="1"/>
  <c r="S189" i="1"/>
  <c r="P189" i="1"/>
  <c r="O189" i="1"/>
  <c r="T188" i="1"/>
  <c r="S188" i="1"/>
  <c r="P188" i="1"/>
  <c r="O188" i="1"/>
  <c r="T187" i="1"/>
  <c r="S187" i="1"/>
  <c r="P187" i="1"/>
  <c r="O187" i="1"/>
  <c r="T186" i="1"/>
  <c r="S186" i="1"/>
  <c r="P186" i="1"/>
  <c r="O186" i="1"/>
  <c r="T185" i="1"/>
  <c r="S185" i="1"/>
  <c r="P185" i="1"/>
  <c r="O185" i="1"/>
  <c r="T184" i="1"/>
  <c r="S184" i="1"/>
  <c r="P184" i="1"/>
  <c r="O184" i="1"/>
  <c r="T183" i="1"/>
  <c r="S183" i="1"/>
  <c r="P183" i="1"/>
  <c r="O183" i="1"/>
  <c r="T182" i="1"/>
  <c r="S182" i="1"/>
  <c r="P182" i="1"/>
  <c r="O182" i="1"/>
  <c r="T181" i="1"/>
  <c r="S181" i="1"/>
  <c r="P181" i="1"/>
  <c r="O181" i="1"/>
  <c r="T180" i="1"/>
  <c r="S180" i="1"/>
  <c r="P180" i="1"/>
  <c r="O180" i="1"/>
  <c r="T179" i="1"/>
  <c r="S179" i="1"/>
  <c r="P179" i="1"/>
  <c r="O179" i="1"/>
  <c r="T178" i="1"/>
  <c r="S178" i="1"/>
  <c r="P178" i="1"/>
  <c r="O178" i="1"/>
  <c r="T177" i="1"/>
  <c r="S177" i="1"/>
  <c r="P177" i="1"/>
  <c r="O177" i="1"/>
  <c r="T176" i="1"/>
  <c r="S176" i="1"/>
  <c r="P176" i="1"/>
  <c r="O176" i="1"/>
  <c r="T175" i="1"/>
  <c r="S175" i="1"/>
  <c r="P175" i="1"/>
  <c r="O175" i="1"/>
  <c r="T174" i="1"/>
  <c r="S174" i="1"/>
  <c r="P174" i="1"/>
  <c r="O174" i="1"/>
  <c r="T173" i="1"/>
  <c r="S173" i="1"/>
  <c r="P173" i="1"/>
  <c r="O173" i="1"/>
  <c r="T172" i="1"/>
  <c r="S172" i="1"/>
  <c r="P172" i="1"/>
  <c r="O172" i="1"/>
  <c r="T171" i="1"/>
  <c r="S171" i="1"/>
  <c r="P171" i="1"/>
  <c r="O171" i="1"/>
  <c r="T170" i="1"/>
  <c r="S170" i="1"/>
  <c r="P170" i="1"/>
  <c r="O170" i="1"/>
  <c r="T169" i="1"/>
  <c r="S169" i="1"/>
  <c r="P169" i="1"/>
  <c r="O169" i="1"/>
  <c r="T168" i="1"/>
  <c r="S168" i="1"/>
  <c r="P168" i="1"/>
  <c r="O168" i="1"/>
  <c r="T167" i="1"/>
  <c r="S167" i="1"/>
  <c r="P167" i="1"/>
  <c r="O167" i="1"/>
  <c r="T166" i="1"/>
  <c r="S166" i="1"/>
  <c r="P166" i="1"/>
  <c r="O166" i="1"/>
  <c r="T165" i="1"/>
  <c r="S165" i="1"/>
  <c r="P165" i="1"/>
  <c r="O165" i="1"/>
  <c r="T164" i="1"/>
  <c r="S164" i="1"/>
  <c r="P164" i="1"/>
  <c r="O164" i="1"/>
  <c r="T163" i="1"/>
  <c r="S163" i="1"/>
  <c r="P163" i="1"/>
  <c r="O163" i="1"/>
  <c r="T162" i="1"/>
  <c r="S162" i="1"/>
  <c r="P162" i="1"/>
  <c r="O162" i="1"/>
  <c r="T161" i="1"/>
  <c r="S161" i="1"/>
  <c r="P161" i="1"/>
  <c r="O161" i="1"/>
  <c r="T160" i="1"/>
  <c r="S160" i="1"/>
  <c r="P160" i="1"/>
  <c r="O160" i="1"/>
  <c r="T159" i="1"/>
  <c r="S159" i="1"/>
  <c r="P159" i="1"/>
  <c r="O159" i="1"/>
  <c r="T158" i="1"/>
  <c r="S158" i="1"/>
  <c r="P158" i="1"/>
  <c r="O158" i="1"/>
  <c r="T157" i="1"/>
  <c r="S157" i="1"/>
  <c r="P157" i="1"/>
  <c r="O157" i="1"/>
  <c r="T156" i="1"/>
  <c r="S156" i="1"/>
  <c r="P156" i="1"/>
  <c r="O156" i="1"/>
  <c r="T155" i="1"/>
  <c r="S155" i="1"/>
  <c r="P155" i="1"/>
  <c r="O155" i="1"/>
  <c r="T154" i="1"/>
  <c r="S154" i="1"/>
  <c r="P154" i="1"/>
  <c r="O154" i="1"/>
  <c r="T153" i="1"/>
  <c r="S153" i="1"/>
  <c r="P153" i="1"/>
  <c r="O153" i="1"/>
  <c r="T152" i="1"/>
  <c r="S152" i="1"/>
  <c r="P152" i="1"/>
  <c r="O152" i="1"/>
  <c r="T151" i="1"/>
  <c r="S151" i="1"/>
  <c r="P151" i="1"/>
  <c r="O151" i="1"/>
  <c r="T150" i="1"/>
  <c r="S150" i="1"/>
  <c r="P150" i="1"/>
  <c r="O150" i="1"/>
  <c r="T149" i="1"/>
  <c r="S149" i="1"/>
  <c r="P149" i="1"/>
  <c r="O149" i="1"/>
  <c r="T148" i="1"/>
  <c r="S148" i="1"/>
  <c r="P148" i="1"/>
  <c r="O148" i="1"/>
  <c r="T147" i="1"/>
  <c r="S147" i="1"/>
  <c r="P147" i="1"/>
  <c r="O147" i="1"/>
  <c r="T146" i="1"/>
  <c r="S146" i="1"/>
  <c r="P146" i="1"/>
  <c r="O146" i="1"/>
  <c r="T145" i="1"/>
  <c r="S145" i="1"/>
  <c r="P145" i="1"/>
  <c r="O145" i="1"/>
  <c r="T144" i="1"/>
  <c r="S144" i="1"/>
  <c r="P144" i="1"/>
  <c r="O144" i="1"/>
  <c r="T143" i="1"/>
  <c r="S143" i="1"/>
  <c r="P143" i="1"/>
  <c r="O143" i="1"/>
  <c r="T142" i="1"/>
  <c r="S142" i="1"/>
  <c r="P142" i="1"/>
  <c r="O142" i="1"/>
  <c r="T141" i="1"/>
  <c r="S141" i="1"/>
  <c r="P141" i="1"/>
  <c r="O141" i="1"/>
  <c r="T140" i="1"/>
  <c r="S140" i="1"/>
  <c r="P140" i="1"/>
  <c r="O140" i="1"/>
  <c r="T139" i="1"/>
  <c r="S139" i="1"/>
  <c r="P139" i="1"/>
  <c r="O139" i="1"/>
  <c r="T138" i="1"/>
  <c r="S138" i="1"/>
  <c r="P138" i="1"/>
  <c r="O138" i="1"/>
  <c r="T137" i="1"/>
  <c r="S137" i="1"/>
  <c r="P137" i="1"/>
  <c r="O137" i="1"/>
  <c r="T136" i="1"/>
  <c r="S136" i="1"/>
  <c r="P136" i="1"/>
  <c r="O136" i="1"/>
  <c r="T135" i="1"/>
  <c r="S135" i="1"/>
  <c r="P135" i="1"/>
  <c r="O135" i="1"/>
  <c r="T134" i="1"/>
  <c r="S134" i="1"/>
  <c r="P134" i="1"/>
  <c r="O134" i="1"/>
  <c r="T133" i="1"/>
  <c r="S133" i="1"/>
  <c r="P133" i="1"/>
  <c r="O133" i="1"/>
  <c r="T132" i="1"/>
  <c r="S132" i="1"/>
  <c r="P132" i="1"/>
  <c r="O132" i="1"/>
  <c r="T131" i="1"/>
  <c r="S131" i="1"/>
  <c r="P131" i="1"/>
  <c r="O131" i="1"/>
  <c r="T130" i="1"/>
  <c r="S130" i="1"/>
  <c r="P130" i="1"/>
  <c r="O130" i="1"/>
  <c r="T129" i="1"/>
  <c r="S129" i="1"/>
  <c r="P129" i="1"/>
  <c r="O129" i="1"/>
  <c r="T128" i="1"/>
  <c r="S128" i="1"/>
  <c r="P128" i="1"/>
  <c r="O128" i="1"/>
  <c r="T127" i="1"/>
  <c r="S127" i="1"/>
  <c r="P127" i="1"/>
  <c r="O127" i="1"/>
  <c r="T126" i="1"/>
  <c r="S126" i="1"/>
  <c r="P126" i="1"/>
  <c r="O126" i="1"/>
  <c r="T125" i="1"/>
  <c r="S125" i="1"/>
  <c r="P125" i="1"/>
  <c r="O125" i="1"/>
  <c r="T124" i="1"/>
  <c r="S124" i="1"/>
  <c r="P124" i="1"/>
  <c r="O124" i="1"/>
  <c r="T123" i="1"/>
  <c r="S123" i="1"/>
  <c r="P123" i="1"/>
  <c r="O123" i="1"/>
  <c r="T122" i="1"/>
  <c r="S122" i="1"/>
  <c r="P122" i="1"/>
  <c r="O122" i="1"/>
  <c r="T121" i="1"/>
  <c r="S121" i="1"/>
  <c r="P121" i="1"/>
  <c r="O121" i="1"/>
  <c r="T120" i="1"/>
  <c r="S120" i="1"/>
  <c r="P120" i="1"/>
  <c r="O120" i="1"/>
  <c r="T119" i="1"/>
  <c r="S119" i="1"/>
  <c r="P119" i="1"/>
  <c r="O119" i="1"/>
  <c r="T118" i="1"/>
  <c r="S118" i="1"/>
  <c r="P118" i="1"/>
  <c r="O118" i="1"/>
  <c r="T117" i="1"/>
  <c r="S117" i="1"/>
  <c r="P117" i="1"/>
  <c r="O117" i="1"/>
  <c r="T116" i="1"/>
  <c r="S116" i="1"/>
  <c r="P116" i="1"/>
  <c r="O116" i="1"/>
  <c r="T115" i="1"/>
  <c r="S115" i="1"/>
  <c r="P115" i="1"/>
  <c r="O115" i="1"/>
  <c r="T114" i="1"/>
  <c r="S114" i="1"/>
  <c r="P114" i="1"/>
  <c r="O114" i="1"/>
  <c r="T113" i="1"/>
  <c r="S113" i="1"/>
  <c r="P113" i="1"/>
  <c r="O113" i="1"/>
  <c r="T112" i="1"/>
  <c r="S112" i="1"/>
  <c r="P112" i="1"/>
  <c r="O112" i="1"/>
  <c r="T111" i="1"/>
  <c r="S111" i="1"/>
  <c r="P111" i="1"/>
  <c r="O111" i="1"/>
  <c r="T110" i="1"/>
  <c r="S110" i="1"/>
  <c r="P110" i="1"/>
  <c r="O110" i="1"/>
  <c r="T109" i="1"/>
  <c r="S109" i="1"/>
  <c r="P109" i="1"/>
  <c r="O109" i="1"/>
  <c r="T108" i="1"/>
  <c r="S108" i="1"/>
  <c r="P108" i="1"/>
  <c r="O108" i="1"/>
  <c r="T107" i="1"/>
  <c r="S107" i="1"/>
  <c r="P107" i="1"/>
  <c r="O107" i="1"/>
  <c r="T106" i="1"/>
  <c r="S106" i="1"/>
  <c r="P106" i="1"/>
  <c r="O106" i="1"/>
  <c r="T105" i="1"/>
  <c r="S105" i="1"/>
  <c r="P105" i="1"/>
  <c r="O105" i="1"/>
  <c r="T104" i="1"/>
  <c r="S104" i="1"/>
  <c r="P104" i="1"/>
  <c r="O104" i="1"/>
  <c r="T103" i="1"/>
  <c r="S103" i="1"/>
  <c r="P103" i="1"/>
  <c r="O103" i="1"/>
  <c r="T102" i="1"/>
  <c r="S102" i="1"/>
  <c r="P102" i="1"/>
  <c r="O102" i="1"/>
  <c r="T101" i="1"/>
  <c r="S101" i="1"/>
  <c r="P101" i="1"/>
  <c r="O101" i="1"/>
  <c r="T100" i="1"/>
  <c r="S100" i="1"/>
  <c r="P100" i="1"/>
  <c r="O100" i="1"/>
  <c r="T99" i="1"/>
  <c r="S99" i="1"/>
  <c r="P99" i="1"/>
  <c r="O99" i="1"/>
  <c r="T98" i="1"/>
  <c r="S98" i="1"/>
  <c r="P98" i="1"/>
  <c r="O98" i="1"/>
  <c r="T97" i="1"/>
  <c r="S97" i="1"/>
  <c r="P97" i="1"/>
  <c r="O97" i="1"/>
  <c r="T96" i="1"/>
  <c r="S96" i="1"/>
  <c r="P96" i="1"/>
  <c r="O96" i="1"/>
  <c r="T95" i="1"/>
  <c r="S95" i="1"/>
  <c r="P95" i="1"/>
  <c r="O95" i="1"/>
  <c r="T94" i="1"/>
  <c r="S94" i="1"/>
  <c r="P94" i="1"/>
  <c r="O94" i="1"/>
  <c r="T93" i="1"/>
  <c r="S93" i="1"/>
  <c r="P93" i="1"/>
  <c r="O93" i="1"/>
  <c r="T92" i="1"/>
  <c r="S92" i="1"/>
  <c r="P92" i="1"/>
  <c r="O92" i="1"/>
  <c r="T91" i="1"/>
  <c r="S91" i="1"/>
  <c r="P91" i="1"/>
  <c r="O91" i="1"/>
  <c r="T90" i="1"/>
  <c r="S90" i="1"/>
  <c r="P90" i="1"/>
  <c r="O90" i="1"/>
  <c r="T89" i="1"/>
  <c r="S89" i="1"/>
  <c r="P89" i="1"/>
  <c r="O89" i="1"/>
  <c r="T88" i="1"/>
  <c r="S88" i="1"/>
  <c r="P88" i="1"/>
  <c r="O88" i="1"/>
  <c r="T87" i="1"/>
  <c r="S87" i="1"/>
  <c r="P87" i="1"/>
  <c r="O87" i="1"/>
  <c r="T86" i="1"/>
  <c r="S86" i="1"/>
  <c r="P86" i="1"/>
  <c r="O86" i="1"/>
  <c r="T85" i="1"/>
  <c r="S85" i="1"/>
  <c r="P85" i="1"/>
  <c r="O85" i="1"/>
  <c r="T84" i="1"/>
  <c r="S84" i="1"/>
  <c r="P84" i="1"/>
  <c r="O84" i="1"/>
  <c r="T83" i="1"/>
  <c r="S83" i="1"/>
  <c r="P83" i="1"/>
  <c r="O83" i="1"/>
  <c r="T82" i="1"/>
  <c r="S82" i="1"/>
  <c r="P82" i="1"/>
  <c r="O82" i="1"/>
  <c r="T81" i="1"/>
  <c r="S81" i="1"/>
  <c r="P81" i="1"/>
  <c r="O81" i="1"/>
  <c r="T80" i="1"/>
  <c r="S80" i="1"/>
  <c r="P80" i="1"/>
  <c r="O80" i="1"/>
  <c r="T79" i="1"/>
  <c r="S79" i="1"/>
  <c r="P79" i="1"/>
  <c r="O79" i="1"/>
  <c r="T78" i="1"/>
  <c r="S78" i="1"/>
  <c r="P78" i="1"/>
  <c r="O78" i="1"/>
  <c r="T77" i="1"/>
  <c r="S77" i="1"/>
  <c r="P77" i="1"/>
  <c r="O77" i="1"/>
  <c r="T76" i="1"/>
  <c r="S76" i="1"/>
  <c r="P76" i="1"/>
  <c r="O76" i="1"/>
  <c r="T75" i="1"/>
  <c r="S75" i="1"/>
  <c r="P75" i="1"/>
  <c r="O75" i="1"/>
  <c r="T74" i="1"/>
  <c r="S74" i="1"/>
  <c r="P74" i="1"/>
  <c r="O74" i="1"/>
  <c r="T73" i="1"/>
  <c r="S73" i="1"/>
  <c r="P73" i="1"/>
  <c r="O73" i="1"/>
  <c r="T72" i="1"/>
  <c r="S72" i="1"/>
  <c r="P72" i="1"/>
  <c r="O72" i="1"/>
  <c r="T71" i="1"/>
  <c r="S71" i="1"/>
  <c r="P71" i="1"/>
  <c r="O71" i="1"/>
  <c r="T70" i="1"/>
  <c r="S70" i="1"/>
  <c r="P70" i="1"/>
  <c r="O70" i="1"/>
  <c r="T69" i="1"/>
  <c r="S69" i="1"/>
  <c r="P69" i="1"/>
  <c r="O69" i="1"/>
  <c r="T68" i="1"/>
  <c r="S68" i="1"/>
  <c r="P68" i="1"/>
  <c r="O68" i="1"/>
  <c r="T67" i="1"/>
  <c r="S67" i="1"/>
  <c r="P67" i="1"/>
  <c r="O67" i="1"/>
  <c r="T66" i="1"/>
  <c r="S66" i="1"/>
  <c r="P66" i="1"/>
  <c r="O66" i="1"/>
  <c r="T65" i="1"/>
  <c r="S65" i="1"/>
  <c r="P65" i="1"/>
  <c r="O65" i="1"/>
  <c r="T64" i="1"/>
  <c r="S64" i="1"/>
  <c r="P64" i="1"/>
  <c r="O64" i="1"/>
  <c r="T63" i="1"/>
  <c r="S63" i="1"/>
  <c r="P63" i="1"/>
  <c r="O63" i="1"/>
  <c r="T62" i="1"/>
  <c r="S62" i="1"/>
  <c r="P62" i="1"/>
  <c r="O62" i="1"/>
  <c r="T61" i="1"/>
  <c r="S61" i="1"/>
  <c r="P61" i="1"/>
  <c r="O61" i="1"/>
  <c r="T60" i="1"/>
  <c r="S60" i="1"/>
  <c r="P60" i="1"/>
  <c r="O60" i="1"/>
  <c r="T59" i="1"/>
  <c r="S59" i="1"/>
  <c r="P59" i="1"/>
  <c r="O59" i="1"/>
  <c r="T58" i="1"/>
  <c r="S58" i="1"/>
  <c r="P58" i="1"/>
  <c r="O58" i="1"/>
  <c r="T57" i="1"/>
  <c r="S57" i="1"/>
  <c r="P57" i="1"/>
  <c r="O57" i="1"/>
  <c r="T56" i="1"/>
  <c r="S56" i="1"/>
  <c r="P56" i="1"/>
  <c r="O56" i="1"/>
  <c r="T55" i="1"/>
  <c r="S55" i="1"/>
  <c r="P55" i="1"/>
  <c r="O55" i="1"/>
  <c r="T54" i="1"/>
  <c r="S54" i="1"/>
  <c r="P54" i="1"/>
  <c r="O54" i="1"/>
  <c r="T53" i="1"/>
  <c r="S53" i="1"/>
  <c r="P53" i="1"/>
  <c r="O53" i="1"/>
  <c r="T52" i="1"/>
  <c r="S52" i="1"/>
  <c r="P52" i="1"/>
  <c r="O52" i="1"/>
  <c r="T51" i="1"/>
  <c r="S51" i="1"/>
  <c r="P51" i="1"/>
  <c r="O51" i="1"/>
  <c r="T50" i="1"/>
  <c r="S50" i="1"/>
  <c r="P50" i="1"/>
  <c r="O50" i="1"/>
  <c r="T49" i="1"/>
  <c r="S49" i="1"/>
  <c r="P49" i="1"/>
  <c r="O49" i="1"/>
  <c r="T48" i="1"/>
  <c r="S48" i="1"/>
  <c r="P48" i="1"/>
  <c r="O48" i="1"/>
  <c r="T47" i="1"/>
  <c r="S47" i="1"/>
  <c r="P47" i="1"/>
  <c r="O47" i="1"/>
  <c r="T46" i="1"/>
  <c r="S46" i="1"/>
  <c r="P46" i="1"/>
  <c r="O46" i="1"/>
  <c r="T45" i="1"/>
  <c r="S45" i="1"/>
  <c r="P45" i="1"/>
  <c r="O45" i="1"/>
  <c r="T44" i="1"/>
  <c r="S44" i="1"/>
  <c r="P44" i="1"/>
  <c r="O44" i="1"/>
  <c r="T43" i="1"/>
  <c r="S43" i="1"/>
  <c r="P43" i="1"/>
  <c r="O43" i="1"/>
  <c r="T42" i="1"/>
  <c r="S42" i="1"/>
  <c r="P42" i="1"/>
  <c r="O42" i="1"/>
  <c r="T41" i="1"/>
  <c r="S41" i="1"/>
  <c r="P41" i="1"/>
  <c r="O41" i="1"/>
  <c r="T40" i="1"/>
  <c r="S40" i="1"/>
  <c r="P40" i="1"/>
  <c r="O40" i="1"/>
  <c r="T39" i="1"/>
  <c r="S39" i="1"/>
  <c r="P39" i="1"/>
  <c r="O39" i="1"/>
  <c r="T38" i="1"/>
  <c r="S38" i="1"/>
  <c r="P38" i="1"/>
  <c r="O38" i="1"/>
  <c r="T37" i="1"/>
  <c r="S37" i="1"/>
  <c r="P37" i="1"/>
  <c r="O37" i="1"/>
  <c r="T36" i="1"/>
  <c r="S36" i="1"/>
  <c r="P36" i="1"/>
  <c r="O36" i="1"/>
  <c r="T35" i="1"/>
  <c r="S35" i="1"/>
  <c r="P35" i="1"/>
  <c r="O35" i="1"/>
  <c r="T34" i="1"/>
  <c r="S34" i="1"/>
  <c r="P34" i="1"/>
  <c r="O34" i="1"/>
  <c r="T33" i="1"/>
  <c r="S33" i="1"/>
  <c r="P33" i="1"/>
  <c r="O33" i="1"/>
  <c r="T32" i="1"/>
  <c r="S32" i="1"/>
  <c r="P32" i="1"/>
  <c r="O32" i="1"/>
  <c r="T31" i="1"/>
  <c r="S31" i="1"/>
  <c r="P31" i="1"/>
  <c r="O31" i="1"/>
  <c r="T30" i="1"/>
  <c r="S30" i="1"/>
  <c r="P30" i="1"/>
  <c r="O30" i="1"/>
  <c r="T29" i="1"/>
  <c r="S29" i="1"/>
  <c r="P29" i="1"/>
  <c r="O29" i="1"/>
  <c r="T28" i="1"/>
  <c r="S28" i="1"/>
  <c r="P28" i="1"/>
  <c r="O28" i="1"/>
  <c r="T27" i="1"/>
  <c r="S27" i="1"/>
  <c r="P27" i="1"/>
  <c r="O27" i="1"/>
  <c r="T26" i="1"/>
  <c r="S26" i="1"/>
  <c r="P26" i="1"/>
  <c r="O26" i="1"/>
  <c r="T25" i="1"/>
  <c r="S25" i="1"/>
  <c r="P25" i="1"/>
  <c r="O25" i="1"/>
  <c r="T24" i="1"/>
  <c r="S24" i="1"/>
  <c r="P24" i="1"/>
  <c r="O24" i="1"/>
  <c r="T23" i="1"/>
  <c r="S23" i="1"/>
  <c r="P23" i="1"/>
  <c r="O23" i="1"/>
  <c r="T22" i="1"/>
  <c r="S22" i="1"/>
  <c r="P22" i="1"/>
  <c r="O22" i="1"/>
  <c r="T21" i="1"/>
  <c r="S21" i="1"/>
  <c r="P21" i="1"/>
  <c r="O21" i="1"/>
  <c r="T20" i="1"/>
  <c r="S20" i="1"/>
  <c r="P20" i="1"/>
  <c r="O20" i="1"/>
  <c r="T19" i="1"/>
  <c r="S19" i="1"/>
  <c r="P19" i="1"/>
  <c r="O19" i="1"/>
  <c r="T18" i="1"/>
  <c r="S18" i="1"/>
  <c r="P18" i="1"/>
  <c r="O18" i="1"/>
  <c r="T17" i="1"/>
  <c r="S17" i="1"/>
  <c r="P17" i="1"/>
  <c r="O17" i="1"/>
  <c r="T16" i="1"/>
  <c r="S16" i="1"/>
  <c r="P16" i="1"/>
  <c r="O16" i="1"/>
  <c r="T15" i="1"/>
  <c r="S15" i="1"/>
  <c r="P15" i="1"/>
  <c r="O15" i="1"/>
  <c r="T14" i="1"/>
  <c r="S14" i="1"/>
  <c r="P14" i="1"/>
  <c r="O14" i="1"/>
  <c r="T13" i="1"/>
  <c r="S13" i="1"/>
  <c r="P13" i="1"/>
  <c r="O13" i="1"/>
  <c r="T12" i="1"/>
  <c r="S12" i="1"/>
  <c r="P12" i="1"/>
  <c r="O12" i="1"/>
  <c r="T11" i="1"/>
  <c r="S11" i="1"/>
  <c r="P11" i="1"/>
  <c r="O11" i="1"/>
  <c r="T10" i="1"/>
  <c r="S10" i="1"/>
  <c r="P10" i="1"/>
  <c r="O10" i="1"/>
  <c r="T9" i="1"/>
  <c r="S9" i="1"/>
  <c r="P9" i="1"/>
  <c r="O9" i="1"/>
  <c r="T8" i="1"/>
  <c r="S8" i="1"/>
  <c r="P8" i="1"/>
  <c r="O8" i="1"/>
  <c r="T7" i="1"/>
  <c r="S7" i="1"/>
  <c r="P7" i="1"/>
  <c r="O7" i="1"/>
  <c r="T6" i="1"/>
  <c r="S6" i="1"/>
  <c r="P6" i="1"/>
  <c r="O6" i="1"/>
  <c r="T5" i="1"/>
  <c r="S5" i="1"/>
  <c r="P5" i="1"/>
  <c r="O5" i="1"/>
  <c r="T4" i="1"/>
  <c r="S4" i="1"/>
  <c r="P4" i="1"/>
  <c r="O4" i="1"/>
  <c r="T3" i="1"/>
  <c r="S3" i="1"/>
  <c r="P3" i="1"/>
  <c r="O3" i="1"/>
  <c r="T2" i="1"/>
  <c r="S2" i="1"/>
  <c r="O2" i="1"/>
  <c r="E4" i="5" l="1"/>
  <c r="E7" i="5"/>
  <c r="G6" i="5"/>
  <c r="H4" i="5"/>
  <c r="H6" i="5"/>
  <c r="E3" i="5"/>
  <c r="F3" i="5" s="1"/>
  <c r="E6" i="5"/>
  <c r="F6" i="5" s="1"/>
  <c r="F8" i="5"/>
  <c r="E10" i="5"/>
  <c r="H10" i="5" s="1"/>
  <c r="F10" i="5"/>
  <c r="H12" i="5"/>
  <c r="E2" i="5"/>
  <c r="H2" i="5" s="1"/>
  <c r="E5" i="5"/>
  <c r="H5" i="5" s="1"/>
  <c r="F4" i="5"/>
  <c r="G13" i="5"/>
  <c r="G4" i="5"/>
  <c r="E11" i="5"/>
  <c r="H11" i="5" s="1"/>
  <c r="E9" i="5"/>
  <c r="F9" i="5" s="1"/>
  <c r="E8" i="5"/>
  <c r="E13" i="5"/>
  <c r="F13" i="5" s="1"/>
  <c r="E12" i="5"/>
  <c r="F12" i="5" s="1"/>
  <c r="G11" i="5" l="1"/>
  <c r="G12" i="5"/>
  <c r="G7" i="5"/>
  <c r="H7" i="5"/>
  <c r="F2" i="5"/>
  <c r="G10" i="5"/>
  <c r="G3" i="5"/>
  <c r="H13" i="5"/>
  <c r="F7" i="5"/>
  <c r="F11" i="5"/>
  <c r="H3" i="5"/>
  <c r="G9" i="5"/>
  <c r="H9" i="5"/>
  <c r="F5" i="5"/>
  <c r="G5" i="5"/>
  <c r="H8" i="5"/>
  <c r="G8" i="5"/>
  <c r="G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<sst xmlns="http://schemas.openxmlformats.org/spreadsheetml/2006/main" count="6121" uniqueCount="2106">
  <si>
    <t>id</t>
  </si>
  <si>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</si>
  <si>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</si>
  <si>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</si>
  <si>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</si>
  <si>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</si>
  <si>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</si>
  <si>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</si>
  <si>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</si>
  <si>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</si>
  <si>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</si>
  <si>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</si>
  <si>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</si>
  <si>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category &amp; sub-category</t>
  </si>
  <si>
    <t>Percent Funded</t>
  </si>
  <si>
    <t>Average Donation</t>
  </si>
  <si>
    <t>Parent Category</t>
  </si>
  <si>
    <t>Sub-Category</t>
  </si>
  <si>
    <t>Date Created Conversion</t>
  </si>
  <si>
    <t>Date Ended Conversion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</si>
  <si>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</si>
  <si>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</si>
  <si>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</si>
  <si>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</si>
  <si>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</si>
  <si>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</si>
  <si>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</si>
  <si>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</si>
  <si>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</si>
  <si>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</si>
  <si>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</si>
  <si>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</si>
  <si>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</si>
  <si>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</si>
  <si>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</si>
  <si>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</si>
  <si>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</si>
  <si>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</si>
  <si>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</si>
  <si>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</si>
  <si>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</si>
  <si>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</si>
  <si>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</si>
  <si>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</si>
  <si>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</si>
  <si>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</si>
  <si>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</si>
  <si>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</si>
  <si>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</si>
  <si>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</si>
  <si>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</si>
  <si>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</si>
  <si>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</si>
  <si>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</si>
  <si>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</si>
  <si>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</si>
  <si>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</si>
  <si>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</si>
  <si>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</si>
  <si>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</si>
  <si>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</si>
  <si>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</si>
  <si>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</si>
  <si>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</si>
  <si>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</si>
  <si>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</si>
  <si>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</si>
  <si>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</si>
  <si>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</si>
  <si>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</si>
  <si>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</si>
  <si>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</si>
  <si>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</si>
  <si>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</si>
  <si>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</si>
  <si>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</si>
  <si>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</si>
  <si>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</si>
  <si>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</si>
  <si>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</si>
  <si>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</si>
  <si>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</si>
  <si>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</si>
  <si>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</si>
  <si>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</si>
  <si>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</si>
  <si>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</si>
  <si>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</si>
  <si>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</si>
  <si>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</si>
  <si>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</si>
  <si>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</si>
  <si>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</si>
  <si>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</si>
  <si>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</si>
  <si>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</si>
  <si>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</si>
  <si>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</si>
  <si>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</si>
  <si>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</si>
  <si>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</si>
  <si>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</si>
  <si>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</si>
  <si>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</si>
  <si>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</si>
  <si>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</si>
  <si>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</si>
  <si>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</si>
  <si>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</si>
  <si>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</si>
  <si>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</si>
  <si>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</si>
  <si>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</si>
  <si>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</si>
  <si>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</si>
  <si>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</si>
  <si>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</si>
  <si>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</si>
  <si>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</si>
  <si>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</si>
  <si>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</si>
  <si>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</si>
  <si>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</si>
  <si>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</si>
  <si>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</si>
  <si>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</si>
  <si>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</si>
  <si>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</si>
  <si>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</si>
  <si>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</si>
  <si>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</si>
  <si>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</si>
  <si>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</si>
  <si>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</si>
  <si>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</si>
  <si>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</si>
  <si>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</si>
  <si>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</si>
  <si>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</si>
  <si>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</si>
  <si>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</si>
  <si>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</si>
  <si>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</si>
  <si>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</si>
  <si>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</si>
  <si>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</si>
  <si>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</si>
  <si>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</si>
  <si>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</si>
  <si>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</si>
  <si>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</si>
  <si>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</si>
  <si>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</si>
  <si>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</si>
  <si>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</si>
  <si>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</si>
  <si>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</si>
  <si>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</si>
  <si>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</si>
  <si>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</si>
  <si>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</si>
  <si>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</si>
  <si>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</si>
  <si>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</si>
  <si>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</si>
  <si>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</si>
  <si>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</si>
  <si>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</si>
  <si>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</si>
  <si>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</si>
  <si>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</si>
  <si>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</si>
  <si>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</si>
  <si>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</si>
  <si>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</si>
  <si>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</si>
  <si>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</si>
  <si>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</si>
  <si>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</si>
  <si>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</si>
  <si>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</si>
  <si>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</si>
  <si>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</si>
  <si>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</si>
  <si>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</si>
  <si>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</si>
  <si>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</si>
  <si>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</si>
  <si>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</si>
  <si>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</si>
  <si>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</si>
  <si>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</si>
  <si>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</si>
  <si>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</si>
  <si>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</si>
  <si>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</si>
  <si>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</si>
  <si>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</si>
  <si>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</si>
  <si>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</si>
  <si>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</si>
  <si>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</si>
  <si>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</si>
  <si>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</si>
  <si>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</si>
  <si>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</si>
  <si>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</si>
  <si>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</si>
  <si>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</si>
  <si>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</si>
  <si>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</si>
  <si>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</si>
  <si>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</si>
  <si>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</si>
  <si>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</si>
  <si>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</si>
  <si>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</si>
  <si>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</si>
  <si>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</si>
  <si>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</si>
  <si>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</si>
  <si>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</si>
  <si>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</si>
  <si>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</si>
  <si>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</si>
  <si>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</si>
  <si>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</si>
  <si>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</si>
  <si>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</si>
  <si>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</si>
  <si>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</si>
  <si>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</si>
  <si>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</si>
  <si>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</si>
  <si>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</si>
  <si>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</si>
  <si>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</si>
  <si>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</si>
  <si>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</si>
  <si>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</si>
  <si>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</si>
  <si>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</si>
  <si>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</si>
  <si>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</si>
  <si>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</si>
  <si>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</si>
  <si>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</si>
  <si>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</si>
  <si>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</si>
  <si>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</si>
  <si>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</si>
  <si>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</si>
  <si>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</si>
  <si>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</si>
  <si>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</si>
  <si>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</si>
  <si>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</si>
  <si>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</si>
  <si>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</si>
  <si>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</si>
  <si>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</si>
  <si>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</si>
  <si>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</si>
  <si>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</si>
  <si>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</si>
  <si>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</si>
  <si>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</si>
  <si>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</si>
  <si>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</si>
  <si>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</si>
  <si>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</si>
  <si>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</si>
  <si>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</si>
  <si>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</si>
  <si>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</si>
  <si>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</si>
  <si>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</si>
  <si>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</si>
  <si>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</si>
  <si>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</si>
  <si>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</si>
  <si>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</si>
  <si>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</si>
  <si>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</si>
  <si>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</si>
  <si>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</si>
  <si>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</si>
  <si>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</si>
  <si>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</si>
  <si>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</si>
  <si>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</si>
  <si>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</si>
  <si>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</si>
  <si>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</si>
  <si>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</si>
  <si>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</si>
  <si>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</si>
  <si>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</si>
  <si>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</si>
  <si>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</si>
  <si>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</si>
  <si>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</si>
  <si>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</si>
  <si>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</si>
  <si>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</si>
  <si>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</si>
  <si>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</si>
  <si>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</si>
  <si>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</si>
  <si>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</si>
  <si>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</si>
  <si>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</si>
  <si>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</si>
  <si>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</si>
  <si>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</si>
  <si>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</si>
  <si>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</si>
  <si>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</si>
  <si>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</si>
  <si>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</si>
  <si>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</si>
  <si>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</si>
  <si>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</si>
  <si>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</si>
  <si>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</si>
  <si>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</si>
  <si>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</si>
  <si>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</si>
  <si>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</si>
  <si>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</si>
  <si>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</si>
  <si>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</si>
  <si>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</si>
  <si>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</si>
  <si>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</si>
  <si>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</si>
  <si>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</si>
  <si>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</si>
  <si>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</si>
  <si>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</si>
  <si>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</si>
  <si>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</si>
  <si>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</si>
  <si>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</si>
  <si>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</si>
  <si>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</si>
  <si>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</si>
  <si>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</si>
  <si>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</si>
  <si>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</si>
  <si>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</si>
  <si>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</si>
  <si>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</si>
  <si>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</si>
  <si>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</si>
  <si>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</si>
  <si>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</si>
  <si>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</si>
  <si>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</si>
  <si>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</si>
  <si>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</si>
  <si>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</si>
  <si>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</si>
  <si>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</si>
  <si>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</si>
  <si>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</si>
  <si>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</si>
  <si>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</si>
  <si>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</si>
  <si>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</si>
  <si>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</si>
  <si>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</si>
  <si>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</si>
  <si>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</si>
  <si>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</si>
  <si>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</si>
  <si>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</si>
  <si>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</si>
  <si>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</si>
  <si>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</si>
  <si>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</si>
  <si>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</si>
  <si>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</si>
  <si>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</si>
  <si>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</si>
  <si>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</si>
  <si>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</si>
  <si>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</si>
  <si>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</si>
  <si>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</si>
  <si>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</si>
  <si>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</si>
  <si>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</si>
  <si>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</si>
  <si>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</si>
  <si>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</si>
  <si>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</si>
  <si>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</si>
  <si>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</si>
  <si>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</si>
  <si>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</si>
  <si>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</si>
  <si>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</si>
  <si>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</si>
  <si>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</si>
  <si>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</si>
  <si>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</si>
  <si>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</si>
  <si>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</si>
  <si>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</si>
  <si>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</si>
  <si>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</si>
  <si>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</si>
  <si>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</si>
  <si>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</si>
  <si>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</si>
  <si>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</si>
  <si>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</si>
  <si>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</si>
  <si>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</si>
  <si>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</si>
  <si>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</si>
  <si>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</si>
  <si>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</si>
  <si>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</si>
  <si>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</si>
  <si>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</si>
  <si>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</si>
  <si>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</si>
  <si>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</si>
  <si>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</si>
  <si>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</si>
  <si>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</si>
  <si>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</si>
  <si>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</si>
  <si>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</si>
  <si>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</si>
  <si>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</si>
  <si>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</si>
  <si>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</si>
  <si>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</si>
  <si>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</si>
  <si>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</si>
  <si>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</si>
  <si>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</si>
  <si>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</si>
  <si>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</si>
  <si>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</si>
  <si>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</si>
  <si>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</si>
  <si>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</si>
  <si>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</si>
  <si>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</si>
  <si>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</si>
  <si>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</si>
  <si>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</si>
  <si>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</si>
  <si>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</si>
  <si>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</si>
  <si>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</si>
  <si>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</si>
  <si>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</si>
  <si>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</si>
  <si>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</si>
  <si>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</si>
  <si>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</si>
  <si>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</si>
  <si>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</si>
  <si>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</si>
  <si>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</si>
  <si>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</si>
  <si>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</si>
  <si>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</si>
  <si>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</si>
  <si>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</si>
  <si>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</si>
  <si>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</si>
  <si>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</si>
  <si>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</si>
  <si>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</si>
  <si>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</si>
  <si>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</si>
  <si>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</si>
  <si>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</si>
  <si>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</si>
  <si>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</si>
  <si>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</si>
  <si>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</si>
  <si>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</si>
  <si>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</si>
  <si>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</si>
  <si>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</si>
  <si>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</si>
  <si>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</si>
  <si>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</si>
  <si>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</si>
  <si>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</si>
  <si>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</si>
  <si>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</si>
  <si>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</si>
  <si>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</si>
  <si>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</si>
  <si>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</si>
  <si>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</si>
  <si>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</si>
  <si>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</si>
  <si>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</si>
  <si>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</si>
  <si>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</si>
  <si>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</si>
  <si>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</si>
  <si>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</si>
  <si>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</si>
  <si>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</si>
  <si>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</si>
  <si>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</si>
  <si>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</si>
  <si>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</si>
  <si>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</si>
  <si>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</si>
  <si>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</si>
  <si>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</si>
  <si>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</si>
  <si>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</si>
  <si>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</si>
  <si>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</si>
  <si>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</si>
  <si>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</si>
  <si>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</si>
  <si>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</si>
  <si>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</si>
  <si>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</si>
  <si>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</si>
  <si>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</si>
  <si>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</si>
  <si>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</si>
  <si>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</si>
  <si>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</si>
  <si>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</si>
  <si>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</si>
  <si>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</si>
  <si>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</si>
  <si>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</si>
  <si>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</si>
  <si>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</si>
  <si>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</si>
  <si>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</si>
  <si>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</si>
  <si>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</si>
  <si>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</si>
  <si>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</si>
  <si>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</si>
  <si>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</si>
  <si>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</si>
  <si>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</si>
  <si>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</si>
  <si>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</si>
  <si>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</si>
  <si>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</si>
  <si>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</si>
  <si>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</si>
  <si>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</si>
  <si>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</si>
  <si>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</si>
  <si>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</si>
  <si>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</si>
  <si>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</si>
  <si>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</si>
  <si>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</si>
  <si>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</si>
  <si>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</si>
  <si>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</si>
  <si>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</si>
  <si>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</si>
  <si>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</si>
  <si>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</si>
  <si>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</si>
  <si>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</si>
  <si>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</si>
  <si>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</si>
  <si>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</si>
  <si>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</si>
  <si>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</si>
  <si>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</si>
  <si>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</si>
  <si>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</si>
  <si>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</si>
  <si>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</si>
  <si>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</si>
  <si>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</si>
  <si>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</si>
  <si>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</si>
  <si>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</si>
  <si>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</si>
  <si>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</si>
  <si>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</si>
  <si>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</si>
  <si>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</si>
  <si>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</si>
  <si>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</si>
  <si>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</si>
  <si>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</si>
  <si>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</si>
  <si>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</si>
  <si>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</si>
  <si>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</si>
  <si>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</si>
  <si>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</si>
  <si>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</si>
  <si>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</si>
  <si>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</si>
  <si>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</si>
  <si>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</si>
  <si>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</si>
  <si>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</si>
  <si>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</si>
  <si>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</si>
  <si>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</si>
  <si>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</si>
  <si>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</si>
  <si>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</si>
  <si>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</si>
  <si>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</si>
  <si>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</si>
  <si>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</si>
  <si>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</si>
  <si>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</si>
  <si>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</si>
  <si>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</si>
  <si>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</si>
  <si>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</si>
  <si>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</si>
  <si>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</si>
  <si>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</si>
  <si>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</si>
  <si>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</si>
  <si>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</si>
  <si>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</si>
  <si>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</si>
  <si>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</si>
  <si>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</si>
  <si>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</si>
  <si>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</si>
  <si>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</si>
  <si>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</si>
  <si>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</si>
  <si>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</si>
  <si>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</si>
  <si>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</si>
  <si>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</si>
  <si>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</si>
  <si>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</si>
  <si>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</si>
  <si>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</si>
  <si>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</si>
  <si>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</si>
  <si>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</si>
  <si>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</si>
  <si>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</si>
  <si>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</si>
  <si>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</si>
  <si>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</si>
  <si>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</si>
  <si>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</si>
  <si>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</si>
  <si>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</si>
  <si>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</si>
  <si>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</si>
  <si>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</si>
  <si>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</si>
  <si>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</si>
  <si>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</si>
  <si>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</si>
  <si>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</si>
  <si>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</si>
  <si>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</si>
  <si>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</si>
  <si>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</si>
  <si>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</si>
  <si>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</si>
  <si>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</si>
  <si>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</si>
  <si>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</si>
  <si>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</si>
  <si>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</si>
  <si>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</si>
  <si>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</si>
  <si>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</si>
  <si>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</si>
  <si>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</si>
  <si>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</si>
  <si>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</si>
  <si>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</si>
  <si>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</si>
  <si>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</si>
  <si>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</si>
  <si>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</si>
  <si>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</si>
  <si>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</si>
  <si>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</si>
  <si>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</si>
  <si>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</si>
  <si>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</si>
  <si>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</si>
  <si>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</si>
  <si>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</si>
  <si>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</si>
  <si>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</si>
  <si>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</si>
  <si>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</si>
  <si>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</si>
  <si>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</si>
  <si>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</si>
  <si>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</si>
  <si>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</si>
  <si>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</si>
  <si>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</si>
  <si>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</si>
  <si>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</si>
  <si>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</si>
  <si>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</si>
  <si>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</si>
  <si>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</si>
  <si>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</si>
  <si>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</si>
  <si>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</si>
  <si>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</si>
  <si>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</si>
  <si>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</si>
  <si>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</si>
  <si>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</si>
  <si>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</si>
  <si>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</si>
  <si>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</si>
  <si>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</si>
  <si>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</si>
  <si>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</si>
  <si>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</si>
  <si>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</si>
  <si>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</si>
  <si>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</si>
  <si>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</si>
  <si>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</si>
  <si>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</si>
  <si>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</si>
  <si>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</si>
  <si>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</si>
  <si>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</si>
  <si>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</si>
  <si>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</si>
  <si>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</si>
  <si>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</si>
  <si>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</si>
  <si>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</si>
  <si>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</si>
  <si>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</si>
  <si>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</si>
  <si>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</si>
  <si>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</si>
  <si>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</si>
  <si>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</si>
  <si>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</si>
  <si>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</si>
  <si>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</si>
  <si>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</si>
  <si>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</si>
  <si>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</si>
  <si>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</si>
  <si>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</si>
  <si>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</si>
  <si>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</si>
  <si>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</si>
  <si>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</si>
  <si>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</si>
  <si>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</si>
  <si>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</si>
  <si>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</si>
  <si>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</si>
  <si>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</si>
  <si>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</si>
  <si>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</si>
  <si>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</si>
  <si>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</si>
  <si>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</si>
  <si>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</si>
  <si>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</si>
  <si>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</si>
  <si>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</si>
  <si>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</si>
  <si>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</si>
  <si>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</si>
  <si>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</si>
  <si>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</si>
  <si>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</si>
  <si>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</si>
  <si>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</si>
  <si>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</si>
  <si>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</si>
  <si>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</si>
  <si>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</si>
  <si>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</si>
  <si>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</si>
  <si>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</si>
  <si>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</si>
  <si>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</si>
  <si>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</si>
  <si>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</si>
  <si>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</si>
  <si>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</si>
  <si>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</si>
  <si>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</si>
  <si>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</si>
  <si>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</si>
  <si>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</si>
  <si>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</si>
  <si>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</si>
  <si>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</si>
  <si>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</si>
  <si>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</si>
  <si>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</si>
  <si>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</si>
  <si>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</si>
  <si>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</si>
  <si>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</si>
  <si>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</si>
  <si>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</si>
  <si>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</si>
  <si>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</si>
  <si>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</si>
  <si>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</si>
  <si>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</si>
  <si>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</si>
  <si>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</si>
  <si>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</si>
  <si>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</si>
  <si>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</si>
  <si>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</si>
  <si>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</si>
  <si>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</si>
  <si>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</si>
  <si>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</si>
  <si>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</si>
  <si>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</si>
  <si>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</si>
  <si>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</si>
  <si>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</si>
  <si>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</si>
  <si>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</si>
  <si>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</si>
  <si>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</si>
  <si>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</si>
  <si>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</si>
  <si>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</si>
  <si>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</si>
  <si>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</si>
  <si>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</si>
  <si>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</si>
  <si>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</si>
  <si>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</si>
  <si>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</si>
  <si>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</si>
  <si>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</si>
  <si>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</si>
  <si>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</si>
  <si>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</si>
  <si>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</si>
  <si>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</si>
  <si>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</si>
  <si>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</si>
  <si>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</si>
  <si>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</si>
  <si>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</si>
  <si>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</si>
  <si>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</si>
  <si>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</si>
  <si>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</si>
  <si>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</si>
  <si>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</si>
  <si>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</si>
  <si>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</si>
  <si>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</si>
  <si>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</si>
  <si>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</si>
  <si>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</si>
  <si>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</si>
  <si>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</si>
  <si>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</si>
  <si>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</si>
  <si>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</si>
  <si>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</si>
  <si>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</si>
  <si>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</si>
  <si>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</si>
  <si>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</si>
  <si>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</si>
  <si>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</si>
  <si>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</si>
  <si>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</si>
  <si>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</si>
  <si>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</si>
  <si>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</si>
  <si>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</si>
  <si>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</si>
  <si>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</si>
  <si>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</si>
  <si>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</si>
  <si>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</si>
  <si>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</si>
  <si>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</si>
  <si>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</si>
  <si>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</si>
  <si>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</si>
  <si>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</si>
  <si>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</si>
  <si>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</si>
  <si>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</si>
  <si>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</si>
  <si>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</si>
  <si>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</si>
  <si>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</si>
  <si>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</si>
  <si>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</si>
  <si>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</si>
  <si>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</si>
  <si>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</si>
  <si>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</si>
  <si>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</si>
  <si>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</si>
  <si>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</si>
  <si>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</si>
  <si>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</si>
  <si>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</si>
  <si>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</si>
  <si>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</si>
  <si>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</si>
  <si>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</si>
  <si>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</si>
  <si>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</si>
  <si>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</si>
  <si>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</si>
  <si>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</si>
  <si>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</si>
  <si>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</si>
  <si>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</si>
  <si>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</si>
  <si>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</si>
  <si>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</si>
  <si>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</si>
  <si>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</si>
  <si>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</si>
  <si>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</si>
  <si>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</si>
  <si>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</si>
  <si>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</si>
  <si>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</si>
  <si>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</si>
  <si>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</si>
  <si>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</si>
  <si>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</si>
  <si>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</si>
  <si>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</si>
  <si>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</si>
  <si>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</si>
  <si>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</si>
  <si>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</si>
  <si>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</si>
  <si>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</si>
  <si>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</si>
  <si>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</si>
  <si>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</si>
  <si>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</si>
  <si>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</si>
  <si>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</si>
  <si>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</si>
  <si>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</si>
  <si>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</si>
  <si>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</si>
  <si>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</si>
  <si>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</si>
  <si>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</si>
  <si>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</si>
  <si>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</si>
  <si>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</si>
  <si>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</si>
  <si>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</si>
  <si>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</si>
  <si>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</si>
  <si>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</si>
  <si>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</si>
  <si>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</si>
  <si>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</si>
  <si>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</si>
  <si>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</si>
  <si>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</si>
  <si>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</si>
  <si>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</si>
  <si>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</si>
  <si>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</si>
  <si>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</si>
  <si>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</si>
  <si>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</si>
  <si>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</si>
  <si>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</si>
  <si>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</si>
  <si>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</si>
  <si>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</si>
  <si>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</si>
  <si>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</si>
  <si>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</si>
  <si>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</si>
  <si>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</si>
  <si>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</si>
  <si>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</si>
  <si>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</si>
  <si>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</si>
  <si>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</si>
  <si>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</si>
  <si>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</si>
  <si>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</si>
  <si>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</si>
  <si>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</si>
  <si>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</si>
  <si>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</si>
  <si>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</si>
  <si>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</si>
  <si>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</si>
  <si>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</si>
  <si>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</si>
  <si>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</si>
  <si>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</si>
  <si>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</si>
  <si>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</si>
  <si>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</si>
  <si>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</si>
  <si>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</si>
  <si>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</si>
  <si>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</si>
  <si>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</si>
  <si>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</si>
  <si>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</si>
  <si>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</si>
  <si>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</si>
  <si>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</si>
  <si>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</si>
  <si>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</si>
  <si>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</si>
  <si>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</si>
  <si>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</si>
  <si>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</si>
  <si>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</si>
  <si>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</si>
  <si>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</si>
  <si>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</si>
  <si>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</si>
  <si>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</si>
  <si>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</si>
  <si>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</si>
  <si>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</si>
  <si>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</si>
  <si>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</si>
  <si>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</si>
  <si>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</si>
  <si>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</si>
  <si>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</si>
  <si>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</si>
  <si>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</si>
  <si>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</si>
  <si>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</si>
  <si>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</si>
  <si>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</si>
  <si>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</si>
  <si>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</si>
  <si>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</si>
  <si>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</si>
  <si>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</si>
  <si>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</si>
  <si>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</si>
  <si>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</si>
  <si>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</si>
  <si>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</si>
  <si>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</si>
  <si>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</si>
  <si>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</si>
  <si>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</si>
  <si>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</si>
  <si>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</si>
  <si>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</si>
  <si>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</si>
  <si>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</si>
  <si>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</si>
  <si>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</si>
  <si>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</si>
  <si>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</si>
  <si>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</si>
  <si>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</si>
  <si>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</si>
  <si>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</si>
  <si>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</si>
  <si>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</si>
  <si>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</si>
  <si>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</si>
  <si>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</si>
  <si>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</si>
  <si>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</si>
  <si>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</si>
  <si>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</si>
  <si>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</si>
  <si>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</si>
  <si>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</si>
  <si>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</si>
  <si>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</si>
  <si>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</si>
  <si>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</si>
  <si>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</si>
  <si>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</si>
  <si>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</si>
  <si>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</si>
  <si>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</si>
  <si>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</si>
  <si>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</si>
  <si>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</si>
  <si>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</si>
  <si>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</si>
  <si>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</si>
  <si>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</si>
  <si>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</si>
  <si>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</si>
  <si>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</si>
  <si>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</si>
  <si>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</si>
  <si>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</si>
  <si>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</si>
  <si>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</si>
  <si>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</si>
  <si>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</si>
  <si>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</si>
  <si>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</si>
  <si>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</si>
  <si>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</si>
  <si>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</si>
  <si>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</si>
  <si>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</si>
  <si>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</si>
  <si>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</si>
  <si>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</si>
  <si>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</si>
  <si>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</si>
  <si>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</si>
  <si>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</si>
  <si>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</si>
  <si>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</si>
  <si>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</si>
  <si>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</si>
  <si>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</si>
  <si>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</si>
  <si>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</si>
  <si>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</si>
  <si>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</si>
  <si>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</si>
  <si>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</si>
  <si>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</si>
  <si>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</si>
  <si>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</si>
  <si>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</si>
  <si>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</si>
  <si>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</si>
  <si>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</si>
  <si>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</si>
  <si>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</si>
  <si>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</si>
  <si>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</si>
  <si>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</si>
  <si>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</si>
  <si>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</si>
  <si>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</si>
  <si>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</si>
  <si>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</si>
  <si>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</si>
  <si>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</si>
  <si>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</si>
  <si>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</si>
  <si>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</si>
  <si>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</si>
  <si>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</si>
  <si>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</si>
  <si>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</si>
  <si>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</si>
  <si>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</si>
  <si>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</si>
  <si>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</si>
  <si>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</si>
  <si>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</si>
  <si>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</si>
  <si>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</si>
  <si>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</si>
  <si>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</si>
  <si>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</si>
  <si>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</si>
  <si>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</si>
  <si>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</si>
  <si>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</si>
  <si>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</si>
  <si>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</si>
  <si>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</si>
  <si>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</si>
  <si>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</si>
  <si>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</si>
  <si>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</si>
  <si>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</si>
  <si>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</si>
  <si>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</si>
  <si>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</si>
  <si>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</si>
  <si>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</si>
  <si>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</si>
  <si>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</si>
  <si>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</si>
  <si>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</si>
  <si>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</si>
  <si>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</si>
  <si>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</si>
  <si>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</si>
  <si>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</si>
  <si>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</si>
  <si>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</si>
  <si>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</si>
  <si>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</si>
  <si>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</si>
  <si>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</si>
  <si>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</si>
  <si>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</si>
  <si>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</si>
  <si>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</si>
  <si>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</si>
  <si>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</si>
  <si>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</si>
  <si>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</si>
  <si>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</si>
  <si>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</si>
  <si>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</si>
  <si>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</si>
  <si>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</si>
  <si>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</si>
  <si>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</si>
  <si>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</si>
  <si>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</si>
  <si>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</si>
  <si>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</si>
  <si>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</si>
  <si>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</si>
  <si>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</si>
  <si>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</si>
  <si>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</si>
  <si>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</si>
  <si>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</si>
  <si>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</si>
  <si>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</si>
  <si>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</si>
  <si>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</si>
  <si>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</si>
  <si>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</si>
  <si>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</si>
  <si>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</si>
  <si>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</si>
  <si>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</si>
  <si>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</si>
  <si>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</si>
  <si>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</si>
  <si>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</si>
  <si>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</si>
  <si>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</si>
  <si>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</si>
  <si>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</si>
  <si>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</si>
  <si>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</si>
  <si>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</si>
  <si>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</si>
  <si>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</si>
  <si>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</si>
  <si>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</si>
  <si>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</si>
  <si>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</si>
  <si>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</si>
  <si>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</si>
  <si>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</si>
  <si>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</si>
  <si>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</si>
  <si>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</si>
  <si>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</si>
  <si>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</si>
  <si>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</si>
  <si>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</si>
  <si>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</si>
  <si>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</si>
  <si>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</si>
  <si>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</si>
  <si>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</si>
  <si>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</si>
  <si>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</si>
  <si>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</si>
  <si>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</si>
  <si>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</si>
  <si>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</si>
  <si>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</si>
  <si>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</si>
  <si>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</si>
  <si>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</si>
  <si>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</si>
  <si>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</si>
  <si>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</si>
  <si>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</si>
  <si>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</si>
  <si>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</si>
  <si>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</si>
  <si>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</si>
  <si>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</si>
  <si>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</si>
  <si>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</si>
  <si>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</si>
  <si>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</si>
  <si>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</si>
  <si>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</si>
  <si>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</si>
  <si>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</si>
  <si>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</si>
  <si>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</si>
  <si>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</si>
  <si>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</si>
  <si>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</si>
  <si>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</si>
  <si>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</si>
  <si>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</si>
  <si>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</si>
  <si>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</si>
  <si>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</si>
  <si>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</si>
  <si>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</si>
  <si>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</si>
  <si>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</si>
  <si>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</si>
  <si>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</si>
  <si>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</si>
  <si>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</si>
  <si>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</si>
  <si>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</si>
  <si>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</si>
  <si>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</si>
  <si>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</si>
  <si>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</si>
  <si>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</si>
  <si>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</si>
  <si>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</si>
  <si>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</si>
  <si>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</si>
  <si>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</si>
  <si>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</si>
  <si>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</si>
  <si>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</si>
  <si>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</si>
  <si>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</si>
  <si>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</si>
  <si>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</si>
  <si>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</si>
  <si>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</si>
  <si>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</si>
  <si>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</si>
  <si>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</si>
  <si>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</si>
  <si>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</si>
  <si>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</si>
  <si>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</si>
  <si>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</si>
  <si>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</si>
  <si>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</si>
  <si>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</si>
  <si>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</si>
  <si>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</si>
  <si>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</si>
  <si>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</si>
  <si>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</si>
  <si>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</si>
  <si>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</si>
  <si>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</si>
  <si>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</si>
  <si>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</si>
  <si>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</si>
  <si>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</si>
  <si>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</si>
  <si>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</si>
  <si>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</si>
  <si>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</si>
  <si>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</si>
  <si>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</si>
  <si>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</si>
  <si>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</si>
  <si>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</si>
  <si>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</si>
  <si>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</si>
  <si>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</si>
  <si>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</si>
  <si>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</si>
  <si>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</si>
  <si>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</si>
  <si>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</si>
  <si>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</si>
  <si>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</si>
  <si>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</si>
  <si>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</si>
  <si>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</si>
  <si>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</si>
  <si>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</si>
  <si>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</si>
  <si>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</si>
  <si>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</si>
  <si>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</si>
  <si>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</si>
  <si>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</si>
  <si>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</si>
  <si>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</si>
  <si>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</si>
  <si>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</si>
  <si>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</si>
  <si>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</si>
  <si>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</si>
  <si>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</si>
  <si>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</si>
  <si>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</si>
  <si>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</si>
  <si>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</si>
  <si>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</si>
  <si>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</si>
  <si>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</si>
  <si>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</si>
  <si>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</si>
  <si>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</si>
  <si>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</si>
  <si>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</si>
  <si>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</si>
  <si>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</si>
  <si>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</si>
  <si>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</si>
  <si>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</si>
  <si>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</si>
  <si>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</si>
  <si>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</si>
  <si>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</si>
  <si>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</si>
  <si>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</si>
  <si>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</si>
  <si>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</si>
  <si>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</si>
  <si>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</si>
  <si>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</si>
  <si>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</si>
  <si>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</si>
  <si>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</si>
  <si>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</si>
  <si>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</si>
  <si>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</si>
  <si>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</si>
  <si>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</si>
  <si>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</si>
  <si>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</si>
  <si>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</si>
  <si>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</si>
  <si>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</si>
  <si>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</si>
  <si>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</si>
  <si>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</si>
  <si>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</si>
  <si>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</si>
  <si>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</si>
  <si>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</si>
  <si>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</si>
  <si>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</si>
  <si>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</si>
  <si>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</si>
  <si>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</si>
  <si>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</si>
  <si>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</si>
  <si>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</si>
  <si>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</si>
  <si>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</si>
  <si>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</si>
  <si>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</si>
  <si>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</si>
  <si>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</si>
  <si>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</si>
  <si>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</si>
  <si>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</si>
  <si>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</si>
  <si>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</si>
  <si>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</si>
  <si>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</si>
  <si>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</si>
  <si>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</si>
  <si>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</si>
  <si>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</si>
  <si>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</si>
  <si>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</si>
  <si>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</si>
  <si>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</si>
  <si>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</si>
  <si>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</si>
  <si>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</si>
  <si>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</si>
  <si>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</si>
  <si>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</si>
  <si>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</si>
  <si>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</si>
  <si>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</si>
  <si>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</si>
  <si>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</si>
  <si>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</si>
  <si>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</si>
  <si>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</si>
  <si>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</si>
  <si>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</si>
  <si>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</si>
  <si>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</si>
  <si>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</si>
  <si>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</si>
  <si>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</si>
  <si>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</si>
  <si>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</si>
  <si>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</si>
  <si>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</si>
  <si>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</si>
  <si>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</si>
  <si>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</si>
  <si>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</si>
  <si>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</si>
  <si>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</si>
  <si>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</si>
  <si>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</si>
  <si>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</si>
  <si>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</si>
  <si>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</si>
  <si>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</si>
  <si>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</si>
  <si>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</si>
  <si>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</si>
  <si>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</si>
  <si>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</si>
  <si>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</si>
  <si>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</si>
  <si>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</si>
  <si>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</si>
  <si>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</si>
  <si>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</si>
  <si>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</si>
  <si>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</si>
  <si>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</si>
  <si>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</si>
  <si>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</si>
  <si>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</si>
  <si>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</si>
  <si>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</si>
  <si>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</si>
  <si>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</si>
  <si>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</si>
  <si>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</si>
  <si>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</si>
  <si>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</si>
  <si>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</si>
  <si>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</si>
  <si>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</si>
  <si>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</si>
  <si>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</si>
  <si>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</si>
  <si>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</si>
  <si>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</si>
  <si>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</si>
  <si>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</si>
  <si>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</si>
  <si>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</si>
  <si>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</si>
  <si>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</si>
  <si>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</si>
  <si>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</si>
  <si>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</si>
  <si>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</si>
  <si>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</si>
  <si>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</si>
  <si>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</si>
  <si>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</si>
  <si>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</si>
  <si>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</si>
  <si>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</si>
  <si>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</si>
  <si>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</si>
  <si>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</si>
  <si>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</si>
  <si>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</si>
  <si>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</si>
  <si>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</si>
  <si>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</si>
  <si>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</si>
  <si>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</si>
  <si>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</si>
  <si>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</si>
  <si>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</si>
  <si>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</si>
  <si>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</si>
  <si>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</si>
  <si>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</si>
  <si>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</si>
  <si>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</si>
  <si>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</si>
  <si>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</si>
  <si>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</si>
  <si>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</si>
  <si>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</si>
  <si>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</si>
  <si>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</si>
  <si>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</si>
  <si>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</si>
  <si>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</si>
  <si>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</si>
  <si>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</si>
  <si>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</si>
  <si>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</si>
  <si>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</si>
  <si>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</si>
  <si>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</si>
  <si>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</si>
  <si>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</si>
  <si>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</si>
  <si>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</si>
  <si>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</si>
  <si>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</si>
  <si>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</si>
  <si>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</si>
  <si>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</si>
  <si>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</si>
  <si>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</si>
  <si>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</si>
  <si>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</si>
  <si>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</si>
  <si>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</si>
  <si>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</si>
  <si>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</si>
  <si>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</si>
  <si>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</si>
  <si>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</si>
  <si>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</si>
  <si>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</si>
  <si>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</si>
  <si>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</si>
  <si>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</si>
  <si>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</si>
  <si>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</si>
  <si>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</si>
  <si>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</si>
  <si>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</si>
  <si>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</si>
  <si>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</si>
  <si>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</si>
  <si>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</si>
  <si>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</si>
  <si>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</si>
  <si>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</si>
  <si>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</si>
  <si>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</si>
  <si>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</si>
  <si>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</si>
  <si>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</si>
  <si>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</si>
  <si>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</si>
  <si>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</si>
  <si>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</si>
  <si>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</si>
  <si>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</si>
  <si>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</si>
  <si>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</si>
  <si>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</si>
  <si>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</si>
  <si>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</si>
  <si>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</si>
  <si>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</si>
  <si>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</si>
  <si>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</si>
  <si>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</si>
  <si>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</si>
  <si>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</si>
  <si>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</si>
  <si>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</si>
  <si>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</si>
  <si>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</si>
  <si>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</si>
  <si>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</si>
  <si>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</si>
  <si>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</si>
  <si>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</si>
  <si>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</si>
  <si>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</si>
  <si>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</si>
  <si>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</si>
  <si>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</si>
  <si>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</si>
  <si>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</si>
  <si>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</si>
  <si>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</si>
  <si>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</si>
  <si>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</si>
  <si>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</si>
  <si>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</si>
  <si>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</si>
  <si>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</si>
  <si>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</si>
  <si>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</si>
  <si>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</si>
  <si>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</si>
  <si>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</si>
  <si>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</si>
  <si>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</si>
  <si>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</si>
  <si>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</si>
  <si>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</si>
  <si>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</si>
  <si>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</si>
  <si>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</si>
  <si>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</si>
  <si>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</si>
  <si>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</si>
  <si>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</si>
  <si>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</si>
  <si>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</si>
  <si>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</si>
  <si>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</si>
  <si>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</si>
  <si>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</si>
  <si>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</si>
  <si>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</si>
  <si>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</si>
  <si>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</si>
  <si>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</si>
  <si>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</si>
  <si>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</si>
  <si>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</si>
  <si>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</si>
  <si>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</si>
  <si>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</si>
  <si>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</si>
  <si>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</si>
  <si>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</si>
  <si>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</si>
  <si>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</si>
  <si>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</si>
  <si>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</si>
  <si>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</si>
  <si>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</si>
  <si>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</si>
  <si>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</si>
  <si>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</si>
  <si>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</si>
  <si>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</si>
  <si>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</si>
  <si>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</si>
  <si>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</si>
  <si>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</si>
  <si>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</si>
  <si>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</si>
  <si>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</si>
  <si>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</si>
  <si>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</si>
  <si>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</si>
  <si>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</si>
  <si>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</si>
  <si>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</si>
  <si>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</si>
  <si>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</si>
  <si>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</si>
  <si>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</si>
  <si>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</si>
  <si>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</si>
  <si>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</si>
  <si>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</si>
  <si>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</si>
  <si>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</si>
  <si>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</si>
  <si>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</si>
  <si>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</si>
  <si>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</si>
  <si>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</si>
  <si>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</si>
  <si>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</si>
  <si>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</si>
  <si>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</si>
  <si>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</si>
  <si>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</si>
  <si>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</si>
  <si>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</si>
  <si>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</si>
  <si>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</si>
  <si>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</si>
  <si>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</si>
  <si>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</si>
  <si>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</si>
  <si>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</si>
  <si>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</si>
  <si>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</si>
  <si>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</si>
  <si>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</si>
  <si>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</si>
  <si>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</si>
  <si>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</si>
  <si>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</si>
  <si>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</si>
  <si>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</si>
  <si>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</si>
  <si>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</si>
  <si>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</si>
  <si>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</si>
  <si>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</si>
  <si>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</si>
  <si>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</si>
  <si>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</si>
  <si>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</si>
  <si>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</si>
  <si>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</si>
  <si>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</si>
  <si>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</si>
  <si>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</si>
  <si>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</si>
  <si>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</si>
  <si>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</si>
  <si>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</si>
  <si>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</si>
  <si>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</si>
  <si>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</si>
  <si>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</si>
  <si>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</si>
  <si>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</si>
  <si>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</si>
  <si>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</si>
  <si>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</si>
  <si>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</si>
  <si>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</si>
  <si>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</si>
  <si>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</si>
  <si>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</si>
  <si>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</si>
  <si>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</si>
  <si>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</si>
  <si>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</si>
  <si>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</si>
  <si>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</si>
  <si>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</si>
  <si>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</si>
  <si>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</si>
  <si>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</si>
  <si>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</si>
  <si>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</si>
  <si>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</si>
  <si>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</si>
  <si>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</si>
  <si>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</si>
  <si>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</si>
  <si>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</si>
  <si>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</si>
  <si>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</si>
  <si>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</si>
  <si>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</si>
  <si>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</si>
  <si>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</si>
  <si>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</si>
  <si>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</si>
  <si>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</si>
  <si>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</si>
  <si>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</si>
  <si>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</si>
  <si>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</si>
  <si>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</si>
  <si>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</si>
  <si>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</si>
  <si>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</si>
  <si>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</si>
  <si>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</si>
  <si>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</si>
  <si>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</si>
  <si>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</si>
  <si>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</si>
  <si>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</si>
  <si>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</si>
  <si>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</si>
  <si>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</si>
  <si>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</si>
  <si>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</si>
  <si>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</si>
  <si>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</si>
  <si>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</si>
  <si>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</si>
  <si>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</si>
  <si>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</si>
  <si>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</si>
  <si>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</si>
  <si>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</si>
  <si>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</si>
  <si>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</si>
  <si>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</si>
  <si>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</si>
  <si>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</si>
  <si>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</si>
  <si>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</si>
  <si>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</si>
  <si>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</si>
  <si>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</si>
  <si>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</si>
  <si>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</si>
  <si>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</si>
  <si>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</si>
  <si>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</si>
  <si>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</si>
  <si>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</si>
  <si>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</si>
  <si>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</si>
  <si>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</si>
  <si>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</si>
  <si>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</si>
  <si>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</si>
  <si>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</si>
  <si>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</si>
  <si>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</si>
  <si>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</si>
  <si>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</si>
  <si>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</si>
  <si>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</si>
  <si>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</si>
  <si>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</si>
  <si>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</si>
  <si>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</si>
  <si>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</si>
  <si>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</si>
  <si>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</si>
  <si>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</si>
  <si>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</si>
  <si>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</si>
  <si>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</si>
  <si>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</si>
  <si>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</si>
  <si>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</si>
  <si>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</si>
  <si>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</si>
  <si>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</si>
  <si>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</si>
  <si>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</si>
  <si>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</si>
  <si>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</si>
  <si>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</si>
  <si>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</si>
  <si>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</si>
  <si>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</si>
  <si>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</si>
  <si>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</si>
  <si>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</si>
  <si>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</si>
  <si>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</si>
  <si>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</si>
  <si>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</si>
  <si>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</si>
  <si>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</si>
  <si>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</si>
  <si>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</si>
  <si>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</si>
  <si>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</si>
  <si>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</si>
  <si>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</si>
  <si>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</si>
  <si>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</si>
  <si>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</si>
  <si>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</si>
  <si>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</si>
  <si>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</si>
  <si>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</si>
  <si>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</si>
  <si>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</si>
  <si>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</si>
  <si>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</si>
  <si>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</si>
  <si>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</si>
  <si>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</si>
  <si>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</si>
  <si>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</si>
  <si>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</si>
  <si>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</si>
  <si>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</si>
  <si>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</si>
  <si>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</si>
  <si>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</si>
  <si>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</si>
  <si>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</si>
  <si>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</si>
  <si>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</si>
  <si>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</si>
  <si>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</si>
  <si>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</si>
  <si>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</si>
  <si>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</si>
  <si>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</si>
  <si>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</si>
  <si>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</si>
  <si>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</si>
  <si>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</si>
  <si>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</si>
  <si>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</si>
  <si>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</si>
  <si>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</si>
  <si>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</si>
  <si>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</si>
  <si>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</si>
  <si>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</si>
  <si>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</si>
  <si>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</si>
  <si>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</si>
  <si>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</si>
  <si>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</si>
  <si>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</si>
  <si>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</si>
  <si>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</si>
  <si>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</si>
  <si>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</si>
  <si>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</si>
  <si>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</si>
  <si>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</si>
  <si>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</si>
  <si>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</si>
  <si>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</si>
  <si>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</si>
  <si>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</si>
  <si>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</si>
  <si>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</si>
  <si>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</si>
  <si>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</si>
  <si>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</si>
  <si>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Count of outcome</t>
  </si>
  <si>
    <t>Grand Total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</si>
  <si>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</si>
  <si>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</si>
  <si>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</si>
  <si>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</si>
  <si>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</si>
  <si>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</si>
  <si>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</si>
  <si>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Cancled</t>
  </si>
  <si>
    <t>Less than 1000</t>
  </si>
  <si>
    <t>1000 to 4999</t>
  </si>
  <si>
    <t>5000 to 9999</t>
  </si>
  <si>
    <t>10000 to 14999</t>
  </si>
  <si>
    <t>15000 to 19999</t>
  </si>
  <si>
    <t>20000 to 24999</t>
  </si>
  <si>
    <t>25000 to 29999</t>
  </si>
  <si>
    <t>30000 to 34999</t>
  </si>
  <si>
    <t>35000 to 39999</t>
  </si>
  <si>
    <t>40000 to 44999</t>
  </si>
  <si>
    <t>45000 to 49999</t>
  </si>
  <si>
    <t>Greater than or equal to 50000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</si>
  <si>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</si>
  <si>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</si>
  <si>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</si>
  <si>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</si>
  <si>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</si>
  <si>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</si>
  <si>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</si>
  <si>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</si>
  <si>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</si>
  <si>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</si>
  <si>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</si>
  <si>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</si>
  <si>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</si>
  <si>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</si>
  <si>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</si>
  <si>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</si>
  <si>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</si>
  <si>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</si>
  <si>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</si>
  <si>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</si>
  <si>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</si>
  <si>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</si>
  <si>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</si>
  <si>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Column Labels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</si>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</sst>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2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  <scheme val="minor"/>
    </font>
    <font>
      <sz val="12"/>
      <color theme="1"/>
      <name val="Calibri"/>
    </font>
    <font>
      <sz val="11"/>
      <color rgb="FF2E2E2E"/>
      <name val="Consola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 wrapText="1"/>
    </xf>
    <xf numFmtId="10" fontId="3" fillId="0" borderId="0" xfId="0" applyNumberFormat="1" applyFont="1"/>
    <xf numFmtId="164" fontId="3" fillId="0" borderId="0" xfId="0" applyNumberFormat="1" applyFont="1"/>
    <xf numFmtId="14" fontId="3" fillId="0" borderId="0" xfId="0" applyNumberFormat="1" applyFont="1"/>
    <xf numFmtId="0" fontId="4" fillId="0" borderId="0" xfId="0" applyFont="1" applyAlignment="1">
      <alignment vertical="center"/>
    </xf>
    <xf numFmtId="0" fontId="0" fillId="0" borderId="0" xfId="0" applyNumberFormat="1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</cellXfs>
  <cellStyles count="1">
    <cellStyle name="Normal" xfId="0" builtinId="0"/>
  </cellStyles>
  <dxfs count="4">
    <dxf>
      <fill>
        <patternFill patternType="solid">
          <fgColor rgb="FFA50021"/>
          <bgColor rgb="FFA50021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0070C0"/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[excel_challenge.xlsm]Parent Catagory Outcomes!PivotTable1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Catagory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Catagory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Catagory Outcomes'!$B$5:$B$14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F-4A93-A1BD-CDF7999A5693}"/>
            </c:ext>
          </c:extLst>
        </c:ser>
        <c:ser>
          <c:idx val="1"/>
          <c:order val="1"/>
          <c:tx>
            <c:strRef>
              <c:f>'Parent Catagory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Catagory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Catagory Outcomes'!$C$5:$C$14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6F-4A93-A1BD-CDF7999A5693}"/>
            </c:ext>
          </c:extLst>
        </c:ser>
        <c:ser>
          <c:idx val="2"/>
          <c:order val="2"/>
          <c:tx>
            <c:strRef>
              <c:f>'Parent Catagory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Catagory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Catagory Outcomes'!$D$5:$D$14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6F-4A93-A1BD-CDF7999A5693}"/>
            </c:ext>
          </c:extLst>
        </c:ser>
        <c:ser>
          <c:idx val="3"/>
          <c:order val="3"/>
          <c:tx>
            <c:strRef>
              <c:f>'Parent Catagory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Catagory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Catagory Outcomes'!$E$5:$E$14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6F-4A93-A1BD-CDF7999A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9069616"/>
        <c:axId val="699070272"/>
      </c:barChart>
      <c:catAx>
        <c:axId val="6990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70272"/>
        <c:crosses val="autoZero"/>
        <c:auto val="1"/>
        <c:lblAlgn val="ctr"/>
        <c:lblOffset val="100"/>
        <c:noMultiLvlLbl val="0"/>
      </c:catAx>
      <c:valAx>
        <c:axId val="69907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06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[excel_challenge.xlsm]SubCatagory Outcomes!PivotTable2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'SubCatagory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'SubCatagory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'SubCatagory Outcomes'!$B$6:$B$30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0B-4766-8ACA-A211272BE242}"/>
            </c:ext>
          </c:extLst>
        </c:ser>
        <c:ser>
          <c:idx val="1"/>
          <c:order val="1"/>
          <c:tx>
            <c:strRef>
              <c:f>'SubCatagory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'SubCatagory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'SubCatagory Outcomes'!$C$6:$C$30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0B-4766-8ACA-A211272BE242}"/>
            </c:ext>
          </c:extLst>
        </c:ser>
        <c:ser>
          <c:idx val="2"/>
          <c:order val="2"/>
          <c:tx>
            <c:strRef>
              <c:f>'SubCatagory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'SubCatagory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'SubCatagory Outcomes'!$D$6:$D$30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0B-4766-8ACA-A211272BE242}"/>
            </c:ext>
          </c:extLst>
        </c:ser>
        <c:ser>
          <c:idx val="3"/>
          <c:order val="3"/>
          <c:tx>
            <c:strRef>
              <c:f>'SubCatagory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'SubCatagory Outcomes'!$A$6:$A$30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'SubCatagory Outcomes'!$E$6:$E$30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0B-4766-8ACA-A211272BE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0109952"/>
        <c:axId val="490112576"/>
      </c:barChart>
      <c:catAx>
        <c:axId val="49010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12576"/>
        <c:crosses val="autoZero"/>
        <c:auto val="1"/>
        <c:lblAlgn val="ctr"/>
        <c:lblOffset val="100"/>
        <c:noMultiLvlLbl val="0"/>
      </c:catAx>
      <c:valAx>
        <c:axId val="49011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0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[excel_challenge.xlsm]Creation Date Outcomes!PivotTable3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'Creation Date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'Creation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'Creation Date Outcomes'!$B$6:$B$18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0-496F-BD3C-C05EF6065E43}"/>
            </c:ext>
          </c:extLst>
        </c:ser>
        <c:ser>
          <c:idx val="1"/>
          <c:order val="1"/>
          <c:tx>
            <c:strRef>
              <c:f>'Creation Date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'Creation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'Creation Date Outcomes'!$C$6:$C$18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C0-496F-BD3C-C05EF6065E43}"/>
            </c:ext>
          </c:extLst>
        </c:ser>
        <c:ser>
          <c:idx val="2"/>
          <c:order val="2"/>
          <c:tx>
            <c:strRef>
              <c:f>'Creation Date Outcomes'!$D$4:$D$5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'Creation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'Creation Date Outcomes'!$D$6:$D$18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C0-496F-BD3C-C05EF6065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167944"/>
        <c:axId val="735168928"/>
      </c:lineChart>
      <c:catAx>
        <c:axId val="735167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8928"/>
        <c:crosses val="autoZero"/>
        <c:auto val="1"/>
        <c:lblAlgn val="ctr"/>
        <c:lblOffset val="100"/>
        <c:noMultiLvlLbl val="0"/>
      </c:catAx>
      <c:valAx>
        <c:axId val="7351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167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Outcomes Based On Goal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Percentage Successful</c:v>
          </c:tx>
          <c:spPr>
            <a:ln w="28575" cmpd="sng"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 than 1000</c:v>
                </c:pt>
                <c:pt idx="1">
                  <c:v>1000 to 4999</c:v>
                </c:pt>
                <c:pt idx="2">
                  <c:v>5000 to 9999</c:v>
                </c:pt>
                <c:pt idx="3">
                  <c:v>10000 to 14999</c:v>
                </c:pt>
                <c:pt idx="4">
                  <c:v>15000 to 19999</c:v>
                </c:pt>
                <c:pt idx="5">
                  <c:v>20000 to 24999</c:v>
                </c:pt>
                <c:pt idx="6">
                  <c:v>25000 to 29999</c:v>
                </c:pt>
                <c:pt idx="7">
                  <c:v>30000 to 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 to 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0.00%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1C-4921-BEA7-B543983EB3C6}"/>
            </c:ext>
          </c:extLst>
        </c:ser>
        <c:ser>
          <c:idx val="1"/>
          <c:order val="1"/>
          <c:tx>
            <c:v>Percentage Failed</c:v>
          </c:tx>
          <c:spPr>
            <a:ln w="28575" cmpd="sng"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 than 1000</c:v>
                </c:pt>
                <c:pt idx="1">
                  <c:v>1000 to 4999</c:v>
                </c:pt>
                <c:pt idx="2">
                  <c:v>5000 to 9999</c:v>
                </c:pt>
                <c:pt idx="3">
                  <c:v>10000 to 14999</c:v>
                </c:pt>
                <c:pt idx="4">
                  <c:v>15000 to 19999</c:v>
                </c:pt>
                <c:pt idx="5">
                  <c:v>20000 to 24999</c:v>
                </c:pt>
                <c:pt idx="6">
                  <c:v>25000 to 29999</c:v>
                </c:pt>
                <c:pt idx="7">
                  <c:v>30000 to 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 to 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1C-4921-BEA7-B543983EB3C6}"/>
            </c:ext>
          </c:extLst>
        </c:ser>
        <c:ser>
          <c:idx val="2"/>
          <c:order val="2"/>
          <c:tx>
            <c:v>Percentage Cancled</c:v>
          </c:tx>
          <c:spPr>
            <a:ln w="28575" cmpd="sng"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 than 1000</c:v>
                </c:pt>
                <c:pt idx="1">
                  <c:v>1000 to 4999</c:v>
                </c:pt>
                <c:pt idx="2">
                  <c:v>5000 to 9999</c:v>
                </c:pt>
                <c:pt idx="3">
                  <c:v>10000 to 14999</c:v>
                </c:pt>
                <c:pt idx="4">
                  <c:v>15000 to 19999</c:v>
                </c:pt>
                <c:pt idx="5">
                  <c:v>20000 to 24999</c:v>
                </c:pt>
                <c:pt idx="6">
                  <c:v>25000 to 29999</c:v>
                </c:pt>
                <c:pt idx="7">
                  <c:v>30000 to 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 to 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1C-4921-BEA7-B543983EB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4753263"/>
        <c:axId val="1105740371"/>
      </c:lineChart>
      <c:catAx>
        <c:axId val="2044753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05740371"/>
        <c:crosses val="autoZero"/>
        <c:auto val="1"/>
        <c:lblAlgn val="ctr"/>
        <c:lblOffset val="100"/>
        <c:noMultiLvlLbl val="1"/>
      </c:catAx>
      <c:valAx>
        <c:axId val="11057403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2044753263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652461</xdr:colOff>
      <xdr:row>2</xdr:row>
      <xdr:rowOff>19049</xdr:rowOff>
    </xdr:from>
    <xdr:to>
      <xdr:col>16</xdr:col>
      <xdr:colOff>238124</xdr:colOff>
      <xdr:row>23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7DFCFC-6E44-7EE4-55CB-86A41B348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357186</xdr:colOff>
      <xdr:row>4</xdr:row>
      <xdr:rowOff>19050</xdr:rowOff>
    </xdr:from>
    <xdr:to>
      <xdr:col>19</xdr:col>
      <xdr:colOff>400049</xdr:colOff>
      <xdr:row>25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0A9B32-078D-68EB-C9A4-A4539EA08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271461</xdr:colOff>
      <xdr:row>1</xdr:row>
      <xdr:rowOff>161925</xdr:rowOff>
    </xdr:from>
    <xdr:to>
      <xdr:col>19</xdr:col>
      <xdr:colOff>342899</xdr:colOff>
      <xdr:row>23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A5265-304D-83B8-7DFC-A5AE7388A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0</xdr:rowOff>
    </xdr:from>
    <xdr:ext cx="12849225" cy="2724150"/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e Hunstein" refreshedDate="44877.756620023145" createdVersion="8" refreshedVersion="8" minRefreshableVersion="3" recordCount="1001" xr:uid="{810A2930-39DB-4563-86B6-1F9418715BDE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rcent Funded" numFmtId="0">
      <sharedItems containsString="0" containsBlank="1" containsNumber="1" minValue="0" maxValue="23.388333333333332"/>
    </cacheField>
    <cacheField name="Average Donation" numFmtId="0">
      <sharedItems containsString="0" containsBlank="1" containsNumber="1" minValue="0" maxValue="113.17073170731707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8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0">
      <sharedItems containsNonDate="0" containsDate="1" containsString="0" containsBlank="1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x v="0"/>
    <x v="0"/>
    <d v="2015-12-15T06:00:0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x v="1"/>
    <x v="1"/>
    <d v="2014-08-21T05:00:00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x v="2"/>
    <x v="2"/>
    <d v="2013-11-19T06:00:00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x v="1"/>
    <x v="3"/>
    <d v="2019-09-20T05:00:00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x v="3"/>
    <x v="4"/>
    <d v="2019-01-24T06:00:00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x v="3"/>
    <x v="5"/>
    <d v="2012-09-08T05:00:00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x v="4"/>
    <x v="6"/>
    <d v="2017-09-14T05:00:00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x v="3"/>
    <x v="7"/>
    <d v="2015-08-15T05:00:00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x v="3"/>
    <x v="8"/>
    <d v="2010-08-11T05:00:00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x v="5"/>
    <x v="9"/>
    <d v="2013-11-07T06:00:00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x v="6"/>
    <x v="10"/>
    <d v="2010-10-01T05:00:00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x v="3"/>
    <x v="11"/>
    <d v="2010-09-27T05:00:00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x v="6"/>
    <x v="12"/>
    <d v="2019-10-30T05:00:00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x v="7"/>
    <x v="13"/>
    <d v="2016-06-23T05:00:00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x v="7"/>
    <x v="14"/>
    <d v="2012-04-02T05:00:00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x v="8"/>
    <x v="15"/>
    <d v="2019-12-14T06:00:00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x v="9"/>
    <x v="16"/>
    <d v="2014-02-13T06:00:00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x v="10"/>
    <x v="17"/>
    <d v="2011-01-13T06:00:0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x v="3"/>
    <x v="18"/>
    <d v="2018-09-16T05:00:00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x v="3"/>
    <x v="19"/>
    <d v="2019-03-25T05:00:00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x v="6"/>
    <x v="20"/>
    <d v="2014-07-28T05:00:00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x v="3"/>
    <x v="21"/>
    <d v="2011-09-18T05:00:00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x v="3"/>
    <x v="22"/>
    <d v="2018-04-18T05:00:00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x v="4"/>
    <x v="23"/>
    <d v="2019-04-08T05:00:00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x v="8"/>
    <x v="24"/>
    <d v="2014-06-23T05:00:00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x v="11"/>
    <x v="25"/>
    <d v="2011-06-07T05:00:00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x v="3"/>
    <x v="26"/>
    <d v="2018-08-27T05:00:00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x v="1"/>
    <x v="27"/>
    <d v="2015-10-11T05:00:00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x v="3"/>
    <x v="28"/>
    <d v="2010-03-04T06:00:00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x v="12"/>
    <x v="29"/>
    <d v="2018-08-29T05:00:00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x v="10"/>
    <x v="30"/>
    <d v="2019-05-29T05:00:0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x v="11"/>
    <x v="31"/>
    <d v="2016-02-02T06:00:00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x v="4"/>
    <x v="32"/>
    <d v="2018-02-06T06:00:00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x v="3"/>
    <x v="33"/>
    <d v="2014-11-11T06:00:00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x v="4"/>
    <x v="34"/>
    <d v="2017-03-28T05:00:00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x v="6"/>
    <x v="35"/>
    <d v="2019-03-02T06:00:00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x v="3"/>
    <x v="36"/>
    <d v="2011-03-23T05:00:00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x v="13"/>
    <x v="37"/>
    <d v="2019-11-08T06:00:00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x v="14"/>
    <x v="38"/>
    <d v="2010-10-23T05:00:00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x v="3"/>
    <x v="39"/>
    <d v="2013-03-11T05:00:00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x v="8"/>
    <x v="40"/>
    <d v="2010-06-24T05:00:00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x v="1"/>
    <x v="41"/>
    <d v="2012-09-30T05:00:00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0"/>
    <x v="0"/>
    <x v="42"/>
    <d v="2011-07-13T05:00:0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x v="15"/>
    <x v="43"/>
    <d v="2014-08-09T05:00:00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x v="13"/>
    <x v="44"/>
    <d v="2019-03-18T05:00:00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x v="3"/>
    <x v="45"/>
    <d v="2016-11-17T06:00:00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x v="1"/>
    <x v="46"/>
    <d v="2010-07-31T05:00:00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x v="3"/>
    <x v="47"/>
    <d v="2014-04-28T05:00:00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x v="3"/>
    <x v="48"/>
    <d v="2015-07-07T05:00:00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x v="1"/>
    <x v="49"/>
    <d v="2019-12-04T06:00:00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x v="16"/>
    <x v="50"/>
    <d v="2013-08-29T05:00:00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x v="8"/>
    <x v="51"/>
    <d v="2012-04-12T05:00:00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x v="3"/>
    <x v="52"/>
    <d v="2010-09-19T05:00:00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x v="6"/>
    <x v="53"/>
    <d v="2014-06-28T05:00:00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x v="8"/>
    <x v="54"/>
    <d v="2018-03-17T05:00:00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x v="17"/>
    <x v="55"/>
    <d v="2018-08-04T05:00:00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x v="8"/>
    <x v="56"/>
    <d v="2015-01-17T06:00:00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x v="11"/>
    <x v="57"/>
    <d v="2017-09-13T05:00:00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x v="3"/>
    <x v="58"/>
    <d v="2015-10-04T05:00:00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x v="3"/>
    <x v="59"/>
    <d v="2017-06-27T05:00:00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x v="3"/>
    <x v="60"/>
    <d v="2012-07-20T05:00:00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x v="3"/>
    <x v="61"/>
    <d v="2011-04-02T05:00:00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x v="2"/>
    <x v="62"/>
    <d v="2015-06-06T05:00:00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x v="3"/>
    <x v="63"/>
    <d v="2017-05-04T05:00:00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x v="2"/>
    <x v="64"/>
    <d v="2018-07-17T05:00:00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x v="3"/>
    <x v="65"/>
    <d v="2011-02-03T06:00:00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x v="3"/>
    <x v="66"/>
    <d v="2015-04-13T05:00:00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x v="8"/>
    <x v="67"/>
    <d v="2010-01-30T06:00:00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x v="3"/>
    <x v="68"/>
    <d v="2017-09-12T05:00:00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x v="3"/>
    <x v="69"/>
    <d v="2011-01-22T06:00:00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x v="3"/>
    <x v="70"/>
    <d v="2010-12-21T06:00:00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x v="3"/>
    <x v="71"/>
    <d v="2019-12-04T06:00:00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x v="10"/>
    <x v="72"/>
    <d v="2015-08-06T05:00:0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x v="17"/>
    <x v="73"/>
    <d v="2016-11-30T06:00:00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x v="16"/>
    <x v="74"/>
    <d v="2016-03-28T05:00:00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x v="14"/>
    <x v="75"/>
    <d v="2018-07-23T05:00:00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x v="3"/>
    <x v="76"/>
    <d v="2015-03-13T05:00:00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x v="10"/>
    <x v="77"/>
    <d v="2010-10-11T05:00:0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x v="18"/>
    <x v="78"/>
    <d v="2018-04-17T05:00:00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x v="3"/>
    <x v="79"/>
    <d v="2018-06-21T05:00:00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x v="11"/>
    <x v="80"/>
    <d v="2017-09-28T05:00:00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x v="1"/>
    <x v="81"/>
    <d v="2017-12-18T06:00:00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x v="11"/>
    <x v="82"/>
    <d v="2019-01-24T06:00:00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x v="5"/>
    <x v="83"/>
    <d v="2016-08-19T05:00:00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x v="8"/>
    <x v="84"/>
    <d v="2012-08-07T05:00:00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x v="7"/>
    <x v="85"/>
    <d v="2011-09-19T05:00:00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x v="3"/>
    <x v="86"/>
    <d v="2015-05-17T05:00:00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x v="1"/>
    <x v="87"/>
    <d v="2011-03-19T05:00:00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x v="18"/>
    <x v="88"/>
    <d v="2015-05-08T05:00:00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x v="3"/>
    <x v="89"/>
    <d v="2010-04-17T05:00:00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x v="3"/>
    <x v="90"/>
    <d v="2016-02-25T06:00:00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x v="18"/>
    <x v="91"/>
    <d v="2016-09-03T05:00:00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x v="11"/>
    <x v="92"/>
    <d v="2010-06-24T05:00:00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x v="3"/>
    <x v="93"/>
    <d v="2012-10-24T05:00:00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x v="2"/>
    <x v="94"/>
    <d v="2019-04-18T05:00:00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x v="4"/>
    <x v="95"/>
    <d v="2019-10-21T05:00:00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x v="3"/>
    <x v="96"/>
    <d v="2011-03-23T05:00:00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0"/>
    <x v="0"/>
    <x v="48"/>
    <d v="2015-08-18T05:00:0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x v="11"/>
    <x v="97"/>
    <d v="2015-07-31T05:00:00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x v="3"/>
    <x v="98"/>
    <d v="2014-12-24T06:00:00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x v="3"/>
    <x v="99"/>
    <d v="2011-11-06T05:00:00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x v="5"/>
    <x v="100"/>
    <d v="2015-02-28T06:00:00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x v="8"/>
    <x v="101"/>
    <d v="2018-05-21T05:00:00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x v="5"/>
    <x v="102"/>
    <d v="2010-11-02T05:00:00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x v="7"/>
    <x v="103"/>
    <d v="2017-05-24T05:00:00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x v="2"/>
    <x v="104"/>
    <d v="2013-04-20T05:00:00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x v="3"/>
    <x v="105"/>
    <d v="2019-09-13T05:00:00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x v="3"/>
    <x v="106"/>
    <d v="2018-05-10T05:00:00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x v="4"/>
    <x v="107"/>
    <d v="2012-05-13T05:00:00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x v="19"/>
    <x v="108"/>
    <d v="2014-01-14T06:00:00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0"/>
    <x v="0"/>
    <x v="109"/>
    <d v="2018-09-30T05:00:0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x v="15"/>
    <x v="110"/>
    <d v="2012-09-28T05:00:00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x v="2"/>
    <x v="111"/>
    <d v="2014-09-08T05:00:00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0"/>
    <x v="0"/>
    <x v="112"/>
    <d v="2017-09-19T05:00:0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x v="8"/>
    <x v="113"/>
    <d v="2019-04-10T05:00:00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x v="13"/>
    <x v="114"/>
    <d v="2017-12-22T06:00:00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x v="3"/>
    <x v="115"/>
    <d v="2015-09-19T05:00:00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x v="19"/>
    <x v="116"/>
    <d v="2011-09-28T05:00:00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x v="14"/>
    <x v="117"/>
    <d v="2014-02-01T06:00:00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x v="4"/>
    <x v="118"/>
    <d v="2014-07-03T05:00:00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x v="20"/>
    <x v="119"/>
    <d v="2015-04-21T05:00:0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x v="11"/>
    <x v="33"/>
    <d v="2014-10-18T05:00:00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x v="13"/>
    <x v="120"/>
    <d v="2014-12-24T06:00:00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x v="3"/>
    <x v="121"/>
    <d v="2015-11-27T06:00:00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x v="14"/>
    <x v="122"/>
    <d v="2019-07-05T05:00:00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x v="3"/>
    <x v="123"/>
    <d v="2018-09-23T05:00:00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x v="3"/>
    <x v="124"/>
    <d v="2016-09-11T05:00:00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x v="3"/>
    <x v="125"/>
    <d v="2010-05-15T05:00:00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x v="1"/>
    <x v="126"/>
    <d v="2010-09-09T05:00:00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0"/>
    <x v="0"/>
    <x v="127"/>
    <d v="2015-02-28T06:00:0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x v="6"/>
    <x v="128"/>
    <d v="2011-11-11T06:00:00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x v="2"/>
    <x v="129"/>
    <d v="2013-12-12T06:00:00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x v="3"/>
    <x v="130"/>
    <d v="2018-01-28T06:00:00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x v="21"/>
    <x v="131"/>
    <d v="2011-09-03T05:00:00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x v="4"/>
    <x v="132"/>
    <d v="2011-08-07T05:00:00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x v="3"/>
    <x v="133"/>
    <d v="2013-03-12T05:00:00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x v="6"/>
    <x v="134"/>
    <d v="2014-06-19T05:00:00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x v="9"/>
    <x v="135"/>
    <d v="2010-10-12T05:00:00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x v="20"/>
    <x v="136"/>
    <d v="2012-10-04T05:00:0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x v="8"/>
    <x v="137"/>
    <d v="2015-05-07T05:00:00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x v="4"/>
    <x v="138"/>
    <d v="2018-03-02T06:00:00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x v="2"/>
    <x v="139"/>
    <d v="2015-06-18T05:00:00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x v="2"/>
    <x v="107"/>
    <d v="2012-05-17T05:00:00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x v="7"/>
    <x v="140"/>
    <d v="2010-07-18T05:00:00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x v="3"/>
    <x v="141"/>
    <d v="2019-06-25T05:00:00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x v="8"/>
    <x v="142"/>
    <d v="2014-09-12T05:00:00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x v="3"/>
    <x v="143"/>
    <d v="2011-11-28T06:00:00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x v="3"/>
    <x v="144"/>
    <d v="2016-06-19T05:00:00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x v="8"/>
    <x v="145"/>
    <d v="2017-08-03T05:00:00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x v="7"/>
    <x v="146"/>
    <d v="2013-02-22T06:00:00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x v="1"/>
    <x v="147"/>
    <d v="2018-12-17T06:00:00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x v="5"/>
    <x v="148"/>
    <d v="2014-07-30T05:00:00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x v="7"/>
    <x v="149"/>
    <d v="2017-02-24T06:00:00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x v="3"/>
    <x v="150"/>
    <d v="2012-10-25T05:00:00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x v="7"/>
    <x v="151"/>
    <d v="2016-06-04T05:00:00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x v="3"/>
    <x v="152"/>
    <d v="2010-04-09T05:00:00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x v="1"/>
    <x v="153"/>
    <d v="2019-10-29T05:00:00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x v="14"/>
    <x v="154"/>
    <d v="2014-01-11T06:00:00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x v="1"/>
    <x v="155"/>
    <d v="2015-12-09T06:00:00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x v="3"/>
    <x v="156"/>
    <d v="2019-04-14T05:00:00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x v="8"/>
    <x v="157"/>
    <d v="2019-05-13T05:00:00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x v="2"/>
    <x v="158"/>
    <d v="2015-09-29T05:00:00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x v="1"/>
    <x v="159"/>
    <d v="2019-01-07T06:00:00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x v="14"/>
    <x v="160"/>
    <d v="2017-12-08T06:00:00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x v="3"/>
    <x v="161"/>
    <d v="2017-10-09T05:00:00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x v="2"/>
    <x v="162"/>
    <d v="2017-09-02T05:00:00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x v="14"/>
    <x v="163"/>
    <d v="2010-12-26T06:00:00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x v="3"/>
    <x v="164"/>
    <d v="2013-06-20T05:00:00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x v="7"/>
    <x v="165"/>
    <d v="2019-03-17T05:00:00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x v="12"/>
    <x v="166"/>
    <d v="2012-07-15T05:00:00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x v="7"/>
    <x v="167"/>
    <d v="2017-08-10T05:00:00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x v="18"/>
    <x v="168"/>
    <d v="2014-04-11T05:00:00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x v="4"/>
    <x v="169"/>
    <d v="2014-08-03T05:00:00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x v="3"/>
    <x v="170"/>
    <d v="2013-05-24T05:00:00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x v="8"/>
    <x v="171"/>
    <d v="2015-10-06T05:00:00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x v="3"/>
    <x v="172"/>
    <d v="2016-09-19T05:00:00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x v="3"/>
    <x v="173"/>
    <d v="2016-09-12T05:00:00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x v="3"/>
    <x v="174"/>
    <d v="2010-12-10T06:00:00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0"/>
    <x v="0"/>
    <x v="175"/>
    <d v="2017-09-30T05:00:0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x v="3"/>
    <x v="176"/>
    <d v="2013-03-18T05:00:00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x v="8"/>
    <x v="177"/>
    <d v="2010-03-27T05:00:00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x v="2"/>
    <x v="178"/>
    <d v="2017-10-22T05:00:00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x v="3"/>
    <x v="179"/>
    <d v="2019-07-01T05:00:00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x v="1"/>
    <x v="180"/>
    <d v="2010-09-22T05:00:00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x v="3"/>
    <x v="181"/>
    <d v="2019-05-04T05:00:00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x v="19"/>
    <x v="182"/>
    <d v="2018-05-24T05:00:00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x v="3"/>
    <x v="183"/>
    <d v="2014-06-07T05:00:00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x v="12"/>
    <x v="184"/>
    <d v="2013-03-23T05:00:00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x v="3"/>
    <x v="185"/>
    <d v="2014-12-03T06:00:00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x v="3"/>
    <x v="186"/>
    <d v="2016-03-04T06:00:00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x v="3"/>
    <x v="187"/>
    <d v="2013-06-05T05:00:00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x v="3"/>
    <x v="188"/>
    <d v="2019-03-15T05:00:00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x v="1"/>
    <x v="189"/>
    <d v="2014-07-01T05:00:00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x v="7"/>
    <x v="190"/>
    <d v="2018-04-12T05:00:00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x v="16"/>
    <x v="191"/>
    <d v="2015-09-30T05:00:00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x v="5"/>
    <x v="192"/>
    <d v="2018-08-05T05:00:00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x v="8"/>
    <x v="173"/>
    <d v="2016-09-22T05:00:00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x v="6"/>
    <x v="193"/>
    <d v="2017-07-07T05:00:00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x v="5"/>
    <x v="194"/>
    <d v="2010-09-04T05:00:00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x v="1"/>
    <x v="195"/>
    <d v="2015-07-11T05:00:00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x v="3"/>
    <x v="152"/>
    <d v="2010-04-05T05:00:00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x v="2"/>
    <x v="196"/>
    <d v="2014-08-12T05:00:00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0"/>
    <x v="0"/>
    <x v="197"/>
    <d v="2011-10-06T05:00:0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x v="3"/>
    <x v="198"/>
    <d v="2017-01-19T06:00:00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x v="17"/>
    <x v="199"/>
    <d v="2011-04-13T05:00:00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x v="3"/>
    <x v="200"/>
    <d v="2018-10-29T05:00:00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x v="13"/>
    <x v="201"/>
    <d v="2010-03-08T06:00:00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x v="1"/>
    <x v="202"/>
    <d v="2018-09-17T05:00:00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x v="4"/>
    <x v="203"/>
    <d v="2017-12-03T06:00:00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x v="4"/>
    <x v="204"/>
    <d v="2016-05-13T05:00:00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x v="22"/>
    <x v="205"/>
    <d v="2017-03-30T05:00:00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x v="3"/>
    <x v="206"/>
    <d v="2013-09-20T05:00:00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x v="3"/>
    <x v="207"/>
    <d v="2020-01-30T06:00:00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x v="7"/>
    <x v="208"/>
    <d v="2010-11-14T06:00:00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x v="1"/>
    <x v="209"/>
    <d v="2010-08-25T05:00:00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x v="3"/>
    <x v="210"/>
    <d v="2019-02-15T06:00:00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x v="3"/>
    <x v="211"/>
    <d v="2011-11-24T06:00:00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x v="22"/>
    <x v="212"/>
    <d v="2019-05-07T05:00:00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x v="12"/>
    <x v="213"/>
    <d v="2011-12-15T06:00:00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x v="10"/>
    <x v="214"/>
    <d v="2012-08-28T05:00:0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x v="3"/>
    <x v="215"/>
    <d v="2011-07-19T05:00:00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0"/>
    <x v="0"/>
    <x v="216"/>
    <d v="2012-06-23T05:00:0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x v="14"/>
    <x v="217"/>
    <d v="2014-10-03T05:00:00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x v="3"/>
    <x v="218"/>
    <d v="2016-03-30T05:00:00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x v="22"/>
    <x v="219"/>
    <d v="2014-11-08T06:00:00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x v="1"/>
    <x v="220"/>
    <d v="2014-05-03T05:00:00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x v="14"/>
    <x v="221"/>
    <d v="2010-05-15T05:00:00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x v="20"/>
    <x v="222"/>
    <d v="2015-05-21T05:00:0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x v="10"/>
    <x v="172"/>
    <d v="2016-09-25T05:00:0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x v="20"/>
    <x v="223"/>
    <d v="2017-07-19T05:00:0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x v="11"/>
    <x v="224"/>
    <d v="2019-12-06T06:00:00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x v="3"/>
    <x v="225"/>
    <d v="2013-07-18T05:00:00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x v="3"/>
    <x v="226"/>
    <d v="2016-07-26T05:00:00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x v="10"/>
    <x v="227"/>
    <d v="2011-06-28T05:00:0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x v="11"/>
    <x v="228"/>
    <d v="2017-08-29T05:00:00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x v="10"/>
    <x v="229"/>
    <d v="2017-02-18T06:00:0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x v="1"/>
    <x v="230"/>
    <d v="2019-07-02T05:00:00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x v="10"/>
    <x v="231"/>
    <d v="2014-04-27T05:00:0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x v="3"/>
    <x v="232"/>
    <d v="2018-01-08T06:00:00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x v="8"/>
    <x v="233"/>
    <d v="2015-09-02T05:00:00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x v="3"/>
    <x v="194"/>
    <d v="2010-08-07T05:00:00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x v="9"/>
    <x v="234"/>
    <d v="2014-04-23T05:00:00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x v="1"/>
    <x v="235"/>
    <d v="2017-05-20T05:00:00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x v="3"/>
    <x v="236"/>
    <d v="2018-03-07T06:00:00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x v="3"/>
    <x v="237"/>
    <d v="2014-09-04T05:00:00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x v="3"/>
    <x v="238"/>
    <d v="2014-04-08T05:00:00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x v="2"/>
    <x v="239"/>
    <d v="2013-08-09T05:00:00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x v="13"/>
    <x v="240"/>
    <d v="2017-01-06T06:00:00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x v="20"/>
    <x v="241"/>
    <d v="2015-01-05T06:00:0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x v="18"/>
    <x v="242"/>
    <d v="2015-01-09T06:00:00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x v="1"/>
    <x v="67"/>
    <d v="2010-03-01T06:00:00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x v="3"/>
    <x v="243"/>
    <d v="2012-12-11T06:00:00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x v="3"/>
    <x v="244"/>
    <d v="2013-10-30T05:00:00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x v="6"/>
    <x v="245"/>
    <d v="2011-04-20T05:00:00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x v="9"/>
    <x v="246"/>
    <d v="2017-02-23T06:00:00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x v="1"/>
    <x v="247"/>
    <d v="2011-02-21T06:00:00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x v="1"/>
    <x v="248"/>
    <d v="2016-03-01T06:00:00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x v="3"/>
    <x v="249"/>
    <d v="2013-03-19T05:00:00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x v="3"/>
    <x v="250"/>
    <d v="2016-12-28T06:00:00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x v="14"/>
    <x v="251"/>
    <d v="2012-12-27T06:00:00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x v="1"/>
    <x v="136"/>
    <d v="2012-10-10T05:00:00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x v="1"/>
    <x v="252"/>
    <d v="2010-08-29T05:00:00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x v="7"/>
    <x v="253"/>
    <d v="2011-05-01T05:00:00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x v="14"/>
    <x v="254"/>
    <d v="2010-01-09T06:00:00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x v="3"/>
    <x v="255"/>
    <d v="2013-02-28T06:00:00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x v="3"/>
    <x v="256"/>
    <d v="2016-02-16T06:00:00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x v="17"/>
    <x v="257"/>
    <d v="2014-12-10T06:00:00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x v="3"/>
    <x v="258"/>
    <d v="2012-11-09T06:00:00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x v="4"/>
    <x v="259"/>
    <d v="2012-11-19T06:00:00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x v="19"/>
    <x v="260"/>
    <d v="2019-02-21T06:00:00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x v="11"/>
    <x v="261"/>
    <d v="2010-12-04T06:00:00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x v="14"/>
    <x v="262"/>
    <d v="2016-01-07T06:00:00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x v="3"/>
    <x v="263"/>
    <d v="2019-08-04T05:00:00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x v="3"/>
    <x v="264"/>
    <d v="2017-09-20T05:00:00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x v="3"/>
    <x v="265"/>
    <d v="2017-11-11T06:00:00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x v="18"/>
    <x v="266"/>
    <d v="2019-04-14T05:00:00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x v="11"/>
    <x v="267"/>
    <d v="2012-04-24T05:00:00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x v="3"/>
    <x v="268"/>
    <d v="2010-07-21T05:00:00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x v="2"/>
    <x v="269"/>
    <d v="2012-12-21T06:00:00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x v="3"/>
    <x v="270"/>
    <d v="2018-09-06T05:00:00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x v="10"/>
    <x v="271"/>
    <d v="2017-11-27T06:00:0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x v="3"/>
    <x v="272"/>
    <d v="2012-04-01T05:00:00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x v="19"/>
    <x v="73"/>
    <d v="2016-12-03T06:00:00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x v="1"/>
    <x v="273"/>
    <d v="2016-06-04T05:00:00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x v="2"/>
    <x v="274"/>
    <d v="2012-05-06T05:00:00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x v="3"/>
    <x v="275"/>
    <d v="2016-10-18T05:00:00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x v="3"/>
    <x v="276"/>
    <d v="2016-11-30T06:00:00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x v="5"/>
    <x v="277"/>
    <d v="2015-04-28T05:00:00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x v="16"/>
    <x v="278"/>
    <d v="2012-03-15T05:00:00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x v="3"/>
    <x v="279"/>
    <d v="2015-08-06T05:00:00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x v="4"/>
    <x v="280"/>
    <d v="2013-06-11T05:00:00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x v="2"/>
    <x v="281"/>
    <d v="2011-10-19T05:00:00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0"/>
    <x v="0"/>
    <x v="282"/>
    <d v="2012-04-03T05:00:0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x v="3"/>
    <x v="283"/>
    <d v="2010-10-14T05:00:00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x v="3"/>
    <x v="284"/>
    <d v="2018-11-07T06:00:00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x v="3"/>
    <x v="285"/>
    <d v="2013-11-09T06:00:00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x v="3"/>
    <x v="286"/>
    <d v="2019-02-19T06:00:00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x v="3"/>
    <x v="287"/>
    <d v="2014-01-23T06:00:00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x v="1"/>
    <x v="288"/>
    <d v="2016-03-15T05:00:00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0"/>
    <x v="0"/>
    <x v="289"/>
    <d v="2016-04-28T05:00:0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x v="9"/>
    <x v="290"/>
    <d v="2017-08-31T05:00:00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x v="4"/>
    <x v="291"/>
    <d v="2015-03-15T05:00:00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x v="3"/>
    <x v="292"/>
    <d v="2018-09-16T05:00:00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x v="7"/>
    <x v="293"/>
    <d v="2016-01-12T06:00:00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x v="4"/>
    <x v="294"/>
    <d v="2016-09-17T05:00:00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x v="3"/>
    <x v="295"/>
    <d v="2016-04-29T05:00:00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x v="3"/>
    <x v="296"/>
    <d v="2017-07-17T05:00:00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x v="13"/>
    <x v="297"/>
    <d v="2012-06-26T05:00:00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x v="3"/>
    <x v="298"/>
    <d v="2011-04-19T05:00:00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x v="7"/>
    <x v="299"/>
    <d v="2011-10-11T05:00:00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x v="11"/>
    <x v="300"/>
    <d v="2010-04-25T05:00:00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x v="3"/>
    <x v="247"/>
    <d v="2011-02-28T06:00:00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x v="3"/>
    <x v="244"/>
    <d v="2013-11-01T05:00:00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x v="1"/>
    <x v="301"/>
    <d v="2012-02-29T06:00:00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x v="4"/>
    <x v="188"/>
    <d v="2019-03-17T05:00:00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x v="3"/>
    <x v="302"/>
    <d v="2014-06-22T05:00:00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0"/>
    <x v="0"/>
    <x v="303"/>
    <d v="2019-11-20T06:00:0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x v="3"/>
    <x v="304"/>
    <d v="2017-05-27T05:00:00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x v="1"/>
    <x v="305"/>
    <d v="2014-02-16T06:00:00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x v="2"/>
    <x v="306"/>
    <d v="2010-09-05T05:00:00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x v="13"/>
    <x v="307"/>
    <d v="2011-05-19T05:00:00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x v="12"/>
    <x v="308"/>
    <d v="2011-04-09T05:00:00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x v="3"/>
    <x v="309"/>
    <d v="2010-12-08T06:00:00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x v="4"/>
    <x v="310"/>
    <d v="2014-03-29T05:00:00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x v="3"/>
    <x v="311"/>
    <d v="2015-07-03T05:00:00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x v="3"/>
    <x v="79"/>
    <d v="2018-07-09T05:00:00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x v="10"/>
    <x v="312"/>
    <d v="2016-01-01T06:00:0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x v="3"/>
    <x v="313"/>
    <d v="2019-09-01T05:00:00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x v="1"/>
    <x v="314"/>
    <d v="2018-12-11T06:00:00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x v="11"/>
    <x v="315"/>
    <d v="2016-12-23T06:00:00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x v="4"/>
    <x v="316"/>
    <d v="2017-12-09T06:00:00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0"/>
    <x v="0"/>
    <x v="317"/>
    <d v="2011-12-20T06:00:0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x v="8"/>
    <x v="318"/>
    <d v="2013-03-29T05:00:00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x v="3"/>
    <x v="319"/>
    <d v="2018-12-18T06:00:00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x v="1"/>
    <x v="32"/>
    <d v="2018-01-17T06:00:00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x v="1"/>
    <x v="320"/>
    <d v="2019-11-28T06:00:00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x v="1"/>
    <x v="321"/>
    <d v="2010-12-16T06:00:00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x v="3"/>
    <x v="322"/>
    <d v="2019-11-12T06:00:00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x v="3"/>
    <x v="323"/>
    <d v="2011-11-04T05:00:00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x v="3"/>
    <x v="324"/>
    <d v="2017-08-16T05:00:00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x v="14"/>
    <x v="325"/>
    <d v="2011-12-13T06:00:00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x v="7"/>
    <x v="326"/>
    <d v="2015-09-04T05:00:00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x v="3"/>
    <x v="327"/>
    <d v="2013-08-01T05:00:00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x v="3"/>
    <x v="328"/>
    <d v="2014-01-11T06:00:00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x v="11"/>
    <x v="329"/>
    <d v="2018-03-03T06:00:00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x v="6"/>
    <x v="330"/>
    <d v="2015-07-10T05:00:00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x v="7"/>
    <x v="331"/>
    <d v="2017-10-18T05:00:00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x v="2"/>
    <x v="332"/>
    <d v="2015-03-07T06:00:00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0"/>
    <x v="0"/>
    <x v="333"/>
    <d v="2017-03-01T06:00:0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x v="3"/>
    <x v="296"/>
    <d v="2017-08-13T05:00:00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x v="17"/>
    <x v="334"/>
    <d v="2015-06-07T05:00:00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x v="1"/>
    <x v="335"/>
    <d v="2015-09-07T05:00:00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x v="3"/>
    <x v="336"/>
    <d v="2015-11-15T06:00:00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x v="3"/>
    <x v="337"/>
    <d v="2019-07-06T05:00:00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x v="4"/>
    <x v="338"/>
    <d v="2013-09-10T05:00:00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x v="8"/>
    <x v="339"/>
    <d v="2017-03-03T06:00:00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x v="3"/>
    <x v="340"/>
    <d v="2012-01-23T06:00:00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x v="11"/>
    <x v="341"/>
    <d v="2015-09-28T05:00:00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x v="14"/>
    <x v="342"/>
    <d v="2018-08-13T05:00:00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x v="10"/>
    <x v="343"/>
    <d v="2011-09-03T05:00:0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x v="3"/>
    <x v="344"/>
    <d v="2011-01-15T06:00:00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x v="3"/>
    <x v="345"/>
    <d v="2017-10-31T05:00:00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x v="1"/>
    <x v="65"/>
    <d v="2011-03-06T06:00:00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x v="1"/>
    <x v="346"/>
    <d v="2011-12-28T06:00:00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x v="7"/>
    <x v="347"/>
    <d v="2018-04-04T05:00:00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x v="3"/>
    <x v="348"/>
    <d v="2017-01-25T06:00:00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x v="3"/>
    <x v="349"/>
    <d v="2011-01-04T06:00:00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x v="3"/>
    <x v="350"/>
    <d v="2014-11-11T06:00:00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x v="4"/>
    <x v="351"/>
    <d v="2010-11-05T05:00:00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x v="19"/>
    <x v="352"/>
    <d v="2013-03-14T05:00:00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x v="3"/>
    <x v="353"/>
    <d v="2019-04-21T05:00:00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x v="3"/>
    <x v="354"/>
    <d v="2015-03-31T05:00:00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x v="4"/>
    <x v="355"/>
    <d v="2015-01-28T06:00:00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x v="3"/>
    <x v="356"/>
    <d v="2017-08-25T05:00:00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x v="4"/>
    <x v="357"/>
    <d v="2019-01-16T06:00:00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x v="7"/>
    <x v="358"/>
    <d v="2015-12-12T06:00:00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x v="1"/>
    <x v="359"/>
    <d v="2014-07-12T05:00:00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x v="3"/>
    <x v="12"/>
    <d v="2019-11-05T06:00:00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x v="4"/>
    <x v="360"/>
    <d v="2018-06-28T05:00:00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x v="3"/>
    <x v="361"/>
    <d v="2011-11-10T06:00:00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x v="3"/>
    <x v="362"/>
    <d v="2013-06-28T05:00:00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x v="3"/>
    <x v="363"/>
    <d v="2015-07-24T05:00:00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x v="14"/>
    <x v="364"/>
    <d v="2017-11-04T05:00:00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0"/>
    <x v="0"/>
    <x v="210"/>
    <d v="2019-02-19T06:00:0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x v="4"/>
    <x v="365"/>
    <d v="2017-03-09T06:00:00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x v="9"/>
    <x v="366"/>
    <d v="2019-04-30T05:00:00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x v="3"/>
    <x v="367"/>
    <d v="2010-07-08T05:00:00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x v="8"/>
    <x v="368"/>
    <d v="2012-06-17T05:00:00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x v="7"/>
    <x v="369"/>
    <d v="2012-01-06T06:00:00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x v="3"/>
    <x v="370"/>
    <d v="2010-11-24T06:00:00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x v="14"/>
    <x v="371"/>
    <d v="2013-09-28T05:00:00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x v="9"/>
    <x v="287"/>
    <d v="2014-01-16T06:00:00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x v="8"/>
    <x v="372"/>
    <d v="2011-01-08T06:00:00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x v="17"/>
    <x v="373"/>
    <d v="2017-07-18T05:00:00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x v="4"/>
    <x v="374"/>
    <d v="2013-08-08T05:00:00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x v="3"/>
    <x v="375"/>
    <d v="2011-12-09T06:00:00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x v="6"/>
    <x v="376"/>
    <d v="2018-10-13T05:00:00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x v="1"/>
    <x v="377"/>
    <d v="2013-05-29T05:00:00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x v="10"/>
    <x v="378"/>
    <d v="2018-05-10T05:00:0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x v="7"/>
    <x v="379"/>
    <d v="2011-02-09T06:00:00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x v="14"/>
    <x v="380"/>
    <d v="2013-09-07T05:00:00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x v="3"/>
    <x v="381"/>
    <d v="2019-10-27T05:00:00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x v="12"/>
    <x v="382"/>
    <d v="2012-02-22T06:00:00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x v="3"/>
    <x v="125"/>
    <d v="2010-06-17T05:00:00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x v="3"/>
    <x v="383"/>
    <d v="2017-11-17T06:00:00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x v="3"/>
    <x v="384"/>
    <d v="2018-07-24T05:00:00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x v="4"/>
    <x v="385"/>
    <d v="2013-02-11T06:00:00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x v="3"/>
    <x v="386"/>
    <d v="2019-10-20T05:00:00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x v="4"/>
    <x v="387"/>
    <d v="2016-07-10T05:00:00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x v="1"/>
    <x v="388"/>
    <d v="2017-04-22T05:00:00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x v="20"/>
    <x v="277"/>
    <d v="2015-04-28T05:00:0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x v="3"/>
    <x v="389"/>
    <d v="2017-05-31T05:00:00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x v="13"/>
    <x v="390"/>
    <d v="2014-01-13T06:00:00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x v="10"/>
    <x v="391"/>
    <d v="2018-12-24T06:00:0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0"/>
    <x v="0"/>
    <x v="392"/>
    <d v="2010-04-28T05:00:0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x v="3"/>
    <x v="393"/>
    <d v="2012-01-30T06:00:00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x v="4"/>
    <x v="394"/>
    <d v="2011-01-26T06:00:00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x v="3"/>
    <x v="395"/>
    <d v="2018-11-27T06:00:00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x v="4"/>
    <x v="396"/>
    <d v="2012-05-07T05:00:00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x v="2"/>
    <x v="397"/>
    <d v="2011-12-28T06:00:00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x v="3"/>
    <x v="398"/>
    <d v="2017-07-09T05:00:00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x v="8"/>
    <x v="399"/>
    <d v="2017-07-29T05:00:00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x v="3"/>
    <x v="400"/>
    <d v="2010-05-07T05:00:00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0"/>
    <x v="0"/>
    <x v="116"/>
    <d v="2011-09-24T05:00:0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x v="7"/>
    <x v="401"/>
    <d v="2018-04-24T05:00:00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x v="14"/>
    <x v="402"/>
    <d v="2015-08-03T05:00:00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x v="3"/>
    <x v="403"/>
    <d v="2013-03-06T06:00:00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x v="3"/>
    <x v="404"/>
    <d v="2014-10-15T05:00:00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x v="10"/>
    <x v="405"/>
    <d v="2011-02-18T06:00:0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x v="14"/>
    <x v="406"/>
    <d v="2014-03-10T05:00:00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x v="3"/>
    <x v="407"/>
    <d v="2019-11-02T05:00:00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x v="3"/>
    <x v="408"/>
    <d v="2018-07-09T05:00:00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x v="3"/>
    <x v="409"/>
    <d v="2014-05-22T05:00:00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x v="4"/>
    <x v="410"/>
    <d v="2013-12-11T06:00:00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x v="3"/>
    <x v="411"/>
    <d v="2016-12-15T06:00:00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x v="3"/>
    <x v="412"/>
    <d v="2014-12-27T06:00:00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x v="17"/>
    <x v="413"/>
    <d v="2019-04-21T05:00:00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x v="10"/>
    <x v="414"/>
    <d v="2015-09-16T05:00:0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x v="3"/>
    <x v="415"/>
    <d v="2013-04-03T05:00:00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x v="22"/>
    <x v="416"/>
    <d v="2016-11-13T06:00:00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x v="19"/>
    <x v="417"/>
    <d v="2017-07-10T05:00:00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x v="8"/>
    <x v="418"/>
    <d v="2012-05-24T05:00:00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x v="3"/>
    <x v="419"/>
    <d v="2017-09-18T05:00:00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x v="3"/>
    <x v="420"/>
    <d v="2010-10-19T05:00:00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x v="7"/>
    <x v="421"/>
    <d v="2011-07-26T05:00:00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x v="3"/>
    <x v="422"/>
    <d v="2010-12-24T06:00:00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x v="8"/>
    <x v="423"/>
    <d v="2012-12-20T06:00:00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x v="19"/>
    <x v="424"/>
    <d v="2018-01-04T06:00:00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x v="11"/>
    <x v="425"/>
    <d v="2013-04-16T05:00:00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x v="11"/>
    <x v="426"/>
    <d v="2019-03-23T05:00:00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x v="10"/>
    <x v="427"/>
    <d v="2018-11-13T06:00:0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x v="1"/>
    <x v="428"/>
    <d v="2017-08-19T05:00:00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x v="6"/>
    <x v="429"/>
    <d v="2010-07-07T05:00:00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x v="22"/>
    <x v="411"/>
    <d v="2017-01-11T06:00:00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x v="6"/>
    <x v="430"/>
    <d v="2013-11-26T06:00:00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x v="3"/>
    <x v="431"/>
    <d v="2011-10-16T05:00:00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x v="7"/>
    <x v="432"/>
    <d v="2018-02-10T06:00:00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x v="3"/>
    <x v="433"/>
    <d v="2016-10-16T05:00:00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x v="3"/>
    <x v="434"/>
    <d v="2010-05-11T05:00:00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x v="4"/>
    <x v="435"/>
    <d v="2015-01-22T06:00:00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x v="3"/>
    <x v="8"/>
    <d v="2010-08-12T05:00:00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x v="6"/>
    <x v="436"/>
    <d v="2014-05-18T05:00:00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x v="20"/>
    <x v="385"/>
    <d v="2013-03-09T06:00:0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x v="10"/>
    <x v="437"/>
    <d v="2014-01-04T06:00:0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x v="3"/>
    <x v="438"/>
    <d v="2018-02-25T06:00:00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x v="18"/>
    <x v="439"/>
    <d v="2018-02-05T06:00:00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x v="8"/>
    <x v="440"/>
    <d v="2013-06-07T05:00:00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x v="2"/>
    <x v="441"/>
    <d v="2015-11-30T06:00:00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x v="3"/>
    <x v="442"/>
    <d v="2019-04-30T05:00:00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x v="6"/>
    <x v="443"/>
    <d v="2015-05-20T05:00:00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x v="8"/>
    <x v="315"/>
    <d v="2016-12-19T06:00:00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0"/>
    <x v="0"/>
    <x v="444"/>
    <d v="2012-05-02T05:00:0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x v="1"/>
    <x v="445"/>
    <d v="2019-05-04T05:00:00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x v="5"/>
    <x v="446"/>
    <d v="2018-06-27T05:00:00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x v="19"/>
    <x v="447"/>
    <d v="2014-12-17T06:00:00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x v="18"/>
    <x v="448"/>
    <d v="2013-06-29T05:00:00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x v="13"/>
    <x v="342"/>
    <d v="2018-08-16T05:00:00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x v="22"/>
    <x v="449"/>
    <d v="2011-07-23T05:00:00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x v="8"/>
    <x v="450"/>
    <d v="2015-03-21T05:00:00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0"/>
    <x v="0"/>
    <x v="451"/>
    <d v="2017-07-31T05:00:0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x v="14"/>
    <x v="452"/>
    <d v="2010-03-20T05:00:00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x v="3"/>
    <x v="453"/>
    <d v="2014-11-12T06:00:00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x v="13"/>
    <x v="454"/>
    <d v="2012-03-06T06:00:00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x v="3"/>
    <x v="455"/>
    <d v="2019-12-19T06:00:00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0"/>
    <x v="0"/>
    <x v="456"/>
    <d v="2014-09-22T05:00:0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x v="3"/>
    <x v="457"/>
    <d v="2019-07-21T05:00:00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x v="18"/>
    <x v="458"/>
    <d v="2018-03-24T05:00:00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x v="3"/>
    <x v="459"/>
    <d v="2017-05-23T05:00:00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x v="3"/>
    <x v="460"/>
    <d v="2016-02-20T06:00:00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x v="8"/>
    <x v="461"/>
    <d v="2010-08-21T05:00:00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8"/>
    <x v="23"/>
    <x v="462"/>
    <d v="2019-11-24T06:00:00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0"/>
    <x v="0"/>
    <x v="463"/>
    <d v="2013-07-27T05:00:0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x v="12"/>
    <x v="464"/>
    <d v="2010-07-12T05:00:00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x v="14"/>
    <x v="465"/>
    <d v="2019-07-12T05:00:00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x v="8"/>
    <x v="466"/>
    <d v="2012-03-23T05:00:00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x v="3"/>
    <x v="467"/>
    <d v="2014-06-14T05:00:00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x v="10"/>
    <x v="468"/>
    <d v="2017-06-07T05:00:0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x v="8"/>
    <x v="469"/>
    <d v="2016-12-20T06:00:00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x v="2"/>
    <x v="470"/>
    <d v="2015-01-03T06:00:00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x v="4"/>
    <x v="471"/>
    <d v="2016-03-20T05:00:00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n v="0"/>
    <x v="3"/>
    <x v="3"/>
    <x v="472"/>
    <d v="2013-05-29T05:00:00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x v="4"/>
    <x v="473"/>
    <d v="2013-03-14T05:00:00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x v="11"/>
    <x v="474"/>
    <d v="2012-08-25T05:00:00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x v="6"/>
    <x v="72"/>
    <d v="2015-07-21T05:00:00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x v="1"/>
    <x v="443"/>
    <d v="2015-05-19T05:00:00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x v="15"/>
    <x v="475"/>
    <d v="2013-04-19T05:00:00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x v="3"/>
    <x v="81"/>
    <d v="2017-12-10T06:00:00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x v="2"/>
    <x v="476"/>
    <d v="2013-05-28T05:00:00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x v="3"/>
    <x v="192"/>
    <d v="2018-08-19T05:00:00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x v="3"/>
    <x v="477"/>
    <d v="2012-05-15T05:00:00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x v="6"/>
    <x v="478"/>
    <d v="2018-06-24T05:00:00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x v="3"/>
    <x v="479"/>
    <d v="2019-08-04T05:00:00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x v="11"/>
    <x v="480"/>
    <d v="2014-07-06T05:00:00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x v="19"/>
    <x v="180"/>
    <d v="2010-09-11T05:00:00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x v="1"/>
    <x v="481"/>
    <d v="2013-12-11T06:00:00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x v="3"/>
    <x v="482"/>
    <d v="2011-12-25T06:00:00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x v="9"/>
    <x v="194"/>
    <d v="2010-09-13T05:00:00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0"/>
    <x v="0"/>
    <x v="483"/>
    <d v="2017-05-10T05:00:0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x v="10"/>
    <x v="484"/>
    <d v="2018-02-25T06:00:0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x v="1"/>
    <x v="355"/>
    <d v="2015-01-22T06:00:00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x v="3"/>
    <x v="485"/>
    <d v="2019-04-22T05:00:00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x v="6"/>
    <x v="486"/>
    <d v="2016-08-29T05:00:00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x v="12"/>
    <x v="487"/>
    <d v="2012-07-15T05:00:00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x v="12"/>
    <x v="488"/>
    <d v="2010-03-09T06:00:00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x v="3"/>
    <x v="489"/>
    <d v="2010-05-09T05:00:00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x v="8"/>
    <x v="490"/>
    <d v="2010-11-27T06:00:00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x v="3"/>
    <x v="312"/>
    <d v="2016-02-01T06:00:00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x v="10"/>
    <x v="491"/>
    <d v="2016-03-12T06:00:0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x v="7"/>
    <x v="492"/>
    <d v="2014-01-07T06:00:00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x v="11"/>
    <x v="493"/>
    <d v="2014-06-07T05:00:00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x v="13"/>
    <x v="494"/>
    <d v="2010-09-14T05:00:00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x v="11"/>
    <x v="495"/>
    <d v="2014-01-06T06:00:00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x v="3"/>
    <x v="496"/>
    <d v="2018-01-26T06:00:00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x v="7"/>
    <x v="497"/>
    <d v="2013-08-29T05:00:00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x v="6"/>
    <x v="498"/>
    <d v="2018-08-18T05:00:00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x v="3"/>
    <x v="499"/>
    <d v="2018-06-10T05:00:00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x v="13"/>
    <x v="500"/>
    <d v="2010-09-19T05:00:00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x v="4"/>
    <x v="501"/>
    <d v="2018-09-22T05:00:00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x v="20"/>
    <x v="502"/>
    <d v="2013-10-08T05:00:0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0"/>
    <x v="0"/>
    <x v="503"/>
    <d v="2019-07-07T05:00:0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x v="14"/>
    <x v="504"/>
    <d v="2018-05-27T05:00:00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x v="20"/>
    <x v="505"/>
    <d v="2015-07-06T05:00:0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x v="7"/>
    <x v="506"/>
    <d v="2016-02-21T06:00:00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x v="11"/>
    <x v="507"/>
    <d v="2013-09-26T05:00:00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x v="1"/>
    <x v="508"/>
    <d v="2016-01-21T06:00:00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x v="3"/>
    <x v="509"/>
    <d v="2020-01-14T06:00:00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x v="3"/>
    <x v="510"/>
    <d v="2018-09-20T05:00:00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x v="6"/>
    <x v="511"/>
    <d v="2015-02-06T06:00:00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x v="3"/>
    <x v="512"/>
    <d v="2016-04-14T05:00:00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x v="8"/>
    <x v="513"/>
    <d v="2013-06-06T05:00:00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x v="7"/>
    <x v="514"/>
    <d v="2012-03-21T05:00:00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x v="2"/>
    <x v="515"/>
    <d v="2015-01-29T06:00:00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x v="3"/>
    <x v="516"/>
    <d v="2016-11-28T06:00:00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x v="1"/>
    <x v="517"/>
    <d v="2011-01-03T06:00:00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x v="7"/>
    <x v="518"/>
    <d v="2016-12-25T06:00:00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x v="1"/>
    <x v="519"/>
    <d v="2014-05-03T05:00:00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x v="18"/>
    <x v="520"/>
    <d v="2011-09-13T05:00:00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x v="22"/>
    <x v="521"/>
    <d v="2015-10-05T05:00:00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x v="3"/>
    <x v="522"/>
    <d v="2016-04-07T05:00:00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x v="3"/>
    <x v="523"/>
    <d v="2016-08-09T05:00:00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x v="10"/>
    <x v="524"/>
    <d v="2011-12-28T06:00:0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x v="3"/>
    <x v="525"/>
    <d v="2011-10-19T05:00:00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x v="1"/>
    <x v="188"/>
    <d v="2019-03-14T05:00:00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x v="4"/>
    <x v="526"/>
    <d v="2018-12-03T06:00:00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x v="3"/>
    <x v="527"/>
    <d v="2015-03-23T05:00:00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x v="3"/>
    <x v="528"/>
    <d v="2011-12-05T06:00:00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x v="5"/>
    <x v="522"/>
    <d v="2016-03-18T05:00:00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x v="1"/>
    <x v="529"/>
    <d v="2014-07-12T05:00:00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x v="3"/>
    <x v="530"/>
    <d v="2010-08-29T05:00:00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x v="10"/>
    <x v="531"/>
    <d v="2011-01-23T06:00:0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x v="1"/>
    <x v="515"/>
    <d v="2014-12-26T06:00:00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x v="12"/>
    <x v="532"/>
    <d v="2015-08-05T05:00:00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x v="1"/>
    <x v="533"/>
    <d v="2015-10-14T05:00:00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8"/>
    <x v="23"/>
    <x v="409"/>
    <d v="2014-05-04T05:00:00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0"/>
    <x v="0"/>
    <x v="534"/>
    <d v="2019-12-17T06:00:0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x v="3"/>
    <x v="53"/>
    <d v="2014-05-23T05:00:00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x v="3"/>
    <x v="535"/>
    <d v="2017-11-18T06:00:00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x v="17"/>
    <x v="536"/>
    <d v="2011-04-06T05:00:00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x v="22"/>
    <x v="537"/>
    <d v="2011-12-04T06:00:00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x v="17"/>
    <x v="538"/>
    <d v="2011-08-19T05:00:00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x v="3"/>
    <x v="539"/>
    <d v="2014-03-06T06:00:00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x v="2"/>
    <x v="540"/>
    <d v="2011-05-14T05:00:00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x v="11"/>
    <x v="505"/>
    <d v="2015-06-15T05:00:00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x v="4"/>
    <x v="541"/>
    <d v="2012-03-08T06:00:00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x v="2"/>
    <x v="542"/>
    <d v="2012-05-09T05:00:00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x v="18"/>
    <x v="543"/>
    <d v="2010-03-28T05:00:00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x v="1"/>
    <x v="544"/>
    <d v="2010-12-06T06:00:00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0"/>
    <x v="0"/>
    <x v="35"/>
    <d v="2019-03-12T05:00:0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x v="3"/>
    <x v="152"/>
    <d v="2010-04-25T05:00:00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x v="4"/>
    <x v="545"/>
    <d v="2015-07-12T05:00:00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x v="15"/>
    <x v="546"/>
    <d v="2015-01-01T06:00:00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x v="11"/>
    <x v="547"/>
    <d v="2010-07-24T05:00:00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x v="3"/>
    <x v="548"/>
    <d v="2014-06-08T05:00:00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x v="10"/>
    <x v="549"/>
    <d v="2014-04-08T05:00:0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x v="3"/>
    <x v="550"/>
    <d v="2016-06-30T05:00:00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x v="3"/>
    <x v="551"/>
    <d v="2010-04-06T05:00:00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x v="6"/>
    <x v="552"/>
    <d v="2016-03-12T06:00:00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x v="3"/>
    <x v="462"/>
    <d v="2019-12-05T06:00:00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x v="1"/>
    <x v="553"/>
    <d v="2010-07-14T05:00:00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x v="4"/>
    <x v="554"/>
    <d v="2015-02-20T06:00:00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0"/>
    <x v="0"/>
    <x v="555"/>
    <d v="2013-08-11T05:00:0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x v="8"/>
    <x v="548"/>
    <d v="2014-06-16T05:00:00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x v="3"/>
    <x v="62"/>
    <d v="2015-06-16T05:00:00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x v="3"/>
    <x v="556"/>
    <d v="2019-05-15T05:00:00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x v="3"/>
    <x v="557"/>
    <d v="2011-02-12T06:00:00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x v="9"/>
    <x v="27"/>
    <d v="2015-11-13T06:00:00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x v="1"/>
    <x v="558"/>
    <d v="2016-03-18T05:00:00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0"/>
    <x v="0"/>
    <x v="559"/>
    <d v="2014-03-25T05:00:0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x v="17"/>
    <x v="426"/>
    <d v="2019-03-10T06:00:00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x v="22"/>
    <x v="560"/>
    <d v="2019-02-02T06:00:00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x v="3"/>
    <x v="561"/>
    <d v="2012-12-30T06:00:00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x v="3"/>
    <x v="562"/>
    <d v="2013-08-06T05:00:00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x v="5"/>
    <x v="563"/>
    <d v="2010-11-15T06:00:00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x v="3"/>
    <x v="564"/>
    <d v="2017-09-04T05:00:00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x v="3"/>
    <x v="565"/>
    <d v="2017-01-29T06:00:00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x v="3"/>
    <x v="566"/>
    <d v="2016-05-09T05:00:00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x v="7"/>
    <x v="567"/>
    <d v="2013-09-21T05:00:00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x v="3"/>
    <x v="568"/>
    <d v="2014-06-14T05:00:00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x v="9"/>
    <x v="569"/>
    <d v="2013-05-23T05:00:00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x v="3"/>
    <x v="570"/>
    <d v="2011-05-07T05:00:00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x v="14"/>
    <x v="571"/>
    <d v="2016-07-12T05:00:00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x v="3"/>
    <x v="572"/>
    <d v="2016-09-18T05:00:00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x v="7"/>
    <x v="573"/>
    <d v="2018-05-11T05:00:00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x v="3"/>
    <x v="574"/>
    <d v="2015-07-21T05:00:00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x v="14"/>
    <x v="511"/>
    <d v="2015-01-31T06:00:00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x v="3"/>
    <x v="575"/>
    <d v="2020-02-10T06:00:00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x v="3"/>
    <x v="576"/>
    <d v="2010-10-07T05:00:00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0"/>
    <x v="0"/>
    <x v="577"/>
    <d v="2010-07-10T05:00:0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x v="7"/>
    <x v="578"/>
    <d v="2010-10-07T05:00:00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x v="3"/>
    <x v="579"/>
    <d v="2016-07-08T05:00:00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x v="3"/>
    <x v="580"/>
    <d v="2019-05-12T05:00:00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x v="3"/>
    <x v="581"/>
    <d v="2019-03-30T05:00:00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x v="3"/>
    <x v="582"/>
    <d v="2014-11-20T06:00:00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x v="10"/>
    <x v="336"/>
    <d v="2015-11-11T06:00:0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x v="19"/>
    <x v="583"/>
    <d v="2017-04-08T05:00:00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x v="19"/>
    <x v="584"/>
    <d v="2013-03-13T05:00:00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x v="10"/>
    <x v="585"/>
    <d v="2012-03-03T06:00:0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x v="3"/>
    <x v="586"/>
    <d v="2016-11-22T06:00:00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x v="3"/>
    <x v="587"/>
    <d v="2010-08-08T05:00:00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x v="6"/>
    <x v="588"/>
    <d v="2018-07-28T05:00:00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x v="3"/>
    <x v="589"/>
    <d v="2016-01-21T06:00:00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x v="3"/>
    <x v="590"/>
    <d v="2017-03-20T05:00:00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x v="8"/>
    <x v="591"/>
    <d v="2018-12-26T06:00:00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x v="3"/>
    <x v="592"/>
    <d v="2017-03-19T05:00:00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x v="3"/>
    <x v="593"/>
    <d v="2019-01-03T06:00:00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x v="1"/>
    <x v="594"/>
    <d v="2018-10-17T05:00:00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x v="11"/>
    <x v="595"/>
    <d v="2013-03-24T05:00:00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x v="18"/>
    <x v="596"/>
    <d v="2018-05-03T05:00:00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0"/>
    <x v="0"/>
    <x v="597"/>
    <d v="2017-07-24T05:00:0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x v="3"/>
    <x v="598"/>
    <d v="2010-10-31T05:00:00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x v="17"/>
    <x v="599"/>
    <d v="2014-08-04T05:00:00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x v="12"/>
    <x v="600"/>
    <d v="2014-03-09T06:00:00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x v="2"/>
    <x v="601"/>
    <d v="2016-09-17T05:00:00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x v="2"/>
    <x v="602"/>
    <d v="2016-04-10T05:00:00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x v="16"/>
    <x v="335"/>
    <d v="2015-08-29T05:00:00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x v="14"/>
    <x v="603"/>
    <d v="2017-03-15T05:00:00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0"/>
    <x v="0"/>
    <x v="604"/>
    <d v="2018-01-02T06:00:0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x v="22"/>
    <x v="605"/>
    <d v="2018-01-12T06:00:00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x v="1"/>
    <x v="606"/>
    <d v="2015-09-22T05:00:00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x v="4"/>
    <x v="65"/>
    <d v="2011-01-28T06:00:00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x v="3"/>
    <x v="607"/>
    <d v="2015-08-30T05:00:00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x v="17"/>
    <x v="608"/>
    <d v="2012-04-27T05:00:00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x v="3"/>
    <x v="609"/>
    <d v="2018-12-13T06:00:00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x v="3"/>
    <x v="610"/>
    <d v="2010-10-30T05:00:00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x v="17"/>
    <x v="541"/>
    <d v="2012-03-01T06:00:00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x v="4"/>
    <x v="611"/>
    <d v="2011-07-23T05:00:00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x v="3"/>
    <x v="612"/>
    <d v="2013-09-05T05:00:00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8"/>
    <x v="23"/>
    <x v="613"/>
    <d v="2014-09-19T05:00:00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x v="3"/>
    <x v="614"/>
    <d v="2012-08-13T05:00:00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x v="3"/>
    <x v="615"/>
    <d v="2017-07-05T05:00:00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x v="7"/>
    <x v="90"/>
    <d v="2016-03-08T06:00:00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x v="3"/>
    <x v="616"/>
    <d v="2010-08-04T05:00:00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x v="3"/>
    <x v="617"/>
    <d v="2018-03-31T05:00:00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x v="7"/>
    <x v="618"/>
    <d v="2016-05-06T05:00:00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x v="14"/>
    <x v="619"/>
    <d v="2011-10-05T05:00:00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8"/>
    <x v="23"/>
    <x v="620"/>
    <d v="2019-09-18T05:00:00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x v="14"/>
    <x v="621"/>
    <d v="2012-10-05T05:00:00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x v="13"/>
    <x v="622"/>
    <d v="2016-08-29T05:00:00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x v="6"/>
    <x v="35"/>
    <d v="2019-01-21T06:00:00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0"/>
    <x v="0"/>
    <x v="623"/>
    <d v="2019-10-23T05:00:0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x v="20"/>
    <x v="624"/>
    <d v="2019-12-16T06:00:0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x v="3"/>
    <x v="625"/>
    <d v="2011-12-27T06:00:00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x v="3"/>
    <x v="626"/>
    <d v="2013-12-20T06:00:00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x v="3"/>
    <x v="627"/>
    <d v="2018-09-18T05:00:00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x v="9"/>
    <x v="628"/>
    <d v="2010-07-19T05:00:00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x v="3"/>
    <x v="629"/>
    <d v="2015-09-16T05:00:00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x v="8"/>
    <x v="630"/>
    <d v="2018-04-07T05:00:00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x v="3"/>
    <x v="631"/>
    <d v="2017-03-15T05:00:00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x v="19"/>
    <x v="632"/>
    <d v="2019-01-26T06:00:00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x v="2"/>
    <x v="633"/>
    <d v="2013-11-10T06:00:00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x v="4"/>
    <x v="634"/>
    <d v="2011-12-03T06:00:00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x v="4"/>
    <x v="635"/>
    <d v="2012-10-20T05:00:00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x v="1"/>
    <x v="636"/>
    <d v="2019-07-27T05:00:00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x v="3"/>
    <x v="637"/>
    <d v="2017-11-03T05:00:00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x v="3"/>
    <x v="638"/>
    <d v="2018-01-03T06:00:00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x v="1"/>
    <x v="639"/>
    <d v="2015-11-30T06:00:00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x v="3"/>
    <x v="640"/>
    <d v="2015-04-21T05:00:00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x v="5"/>
    <x v="641"/>
    <d v="2018-04-02T05:00:00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x v="8"/>
    <x v="642"/>
    <d v="2011-12-08T06:00:00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x v="6"/>
    <x v="230"/>
    <d v="2019-06-26T05:00:00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x v="8"/>
    <x v="67"/>
    <d v="2010-02-09T06:00:00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x v="3"/>
    <x v="643"/>
    <d v="2011-04-03T05:00:00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x v="8"/>
    <x v="644"/>
    <d v="2013-07-27T05:00:00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x v="18"/>
    <x v="645"/>
    <d v="2012-05-08T05:00:00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x v="10"/>
    <x v="646"/>
    <d v="2016-07-19T05:00:0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x v="9"/>
    <x v="626"/>
    <d v="2013-12-15T06:00:00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x v="2"/>
    <x v="647"/>
    <d v="2019-01-14T06:00:00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x v="6"/>
    <x v="159"/>
    <d v="2019-01-13T06:00:00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x v="3"/>
    <x v="648"/>
    <d v="2017-06-01T05:00:00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x v="3"/>
    <x v="267"/>
    <d v="2012-04-26T05:00:00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x v="3"/>
    <x v="649"/>
    <d v="2018-07-21T05:00:00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x v="3"/>
    <x v="248"/>
    <d v="2016-01-26T06:00:00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x v="3"/>
    <x v="571"/>
    <d v="2016-08-18T05:00:00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x v="15"/>
    <x v="650"/>
    <d v="2016-09-03T05:00:00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x v="1"/>
    <x v="1"/>
    <d v="2014-08-20T05:00:00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x v="20"/>
    <x v="651"/>
    <d v="2010-08-12T05:00:0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x v="3"/>
    <x v="652"/>
    <d v="2013-08-07T05:00:00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x v="4"/>
    <x v="653"/>
    <d v="2011-09-12T05:00:00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x v="8"/>
    <x v="654"/>
    <d v="2013-07-13T05:00:00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x v="13"/>
    <x v="655"/>
    <d v="2012-06-09T05:00:00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x v="3"/>
    <x v="656"/>
    <d v="2018-03-07T06:00:00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x v="1"/>
    <x v="657"/>
    <d v="2018-04-10T05:00:00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x v="4"/>
    <x v="265"/>
    <d v="2017-12-03T06:00:00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x v="3"/>
    <x v="658"/>
    <d v="2016-03-23T05:00:00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x v="3"/>
    <x v="659"/>
    <d v="2014-10-24T05:00:00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x v="20"/>
    <x v="660"/>
    <d v="2014-11-17T06:00:0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x v="3"/>
    <x v="661"/>
    <d v="2010-10-31T05:00:00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x v="2"/>
    <x v="4"/>
    <d v="2019-03-19T05:00:00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x v="3"/>
    <x v="662"/>
    <d v="2016-06-05T05:00:00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x v="6"/>
    <x v="663"/>
    <d v="2013-02-06T06:00:00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x v="8"/>
    <x v="664"/>
    <d v="2015-05-29T05:00:00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x v="2"/>
    <x v="665"/>
    <d v="2017-07-24T05:00:00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x v="1"/>
    <x v="666"/>
    <d v="2017-04-14T05:00:00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x v="16"/>
    <x v="43"/>
    <d v="2014-08-06T05:00:00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x v="3"/>
    <x v="667"/>
    <d v="2017-02-09T06:00:00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x v="14"/>
    <x v="668"/>
    <d v="2016-04-06T05:00:00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x v="9"/>
    <x v="669"/>
    <d v="2015-02-24T06:00:00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x v="7"/>
    <x v="670"/>
    <d v="2016-11-23T06:00:00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x v="3"/>
    <x v="671"/>
    <d v="2014-12-08T06:00:00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x v="7"/>
    <x v="672"/>
    <d v="2012-06-30T05:00:00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x v="3"/>
    <x v="673"/>
    <d v="2017-02-06T06:00:00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x v="3"/>
    <x v="674"/>
    <d v="2010-05-24T05:00:00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x v="5"/>
    <x v="675"/>
    <d v="2010-03-02T06:00:00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x v="3"/>
    <x v="676"/>
    <d v="2015-10-27T05:00:00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x v="3"/>
    <x v="342"/>
    <d v="2018-08-12T05:00:00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x v="8"/>
    <x v="677"/>
    <d v="2010-06-26T05:00:00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x v="2"/>
    <x v="678"/>
    <d v="2011-10-14T05:00:00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x v="3"/>
    <x v="679"/>
    <d v="2010-09-13T05:00:00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x v="10"/>
    <x v="680"/>
    <d v="2010-03-26T05:00:0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x v="8"/>
    <x v="681"/>
    <d v="2014-10-20T05:00:00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x v="5"/>
    <x v="682"/>
    <d v="2010-07-26T05:00:00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x v="9"/>
    <x v="683"/>
    <d v="2016-04-01T05:00:00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x v="3"/>
    <x v="684"/>
    <d v="2010-08-23T05:00:00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x v="14"/>
    <x v="674"/>
    <d v="2010-06-07T05:00:00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x v="3"/>
    <x v="685"/>
    <d v="2012-12-20T06:00:00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x v="3"/>
    <x v="605"/>
    <d v="2018-01-08T06:00:00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x v="3"/>
    <x v="686"/>
    <d v="2015-01-26T06:00:00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x v="6"/>
    <x v="687"/>
    <d v="2011-05-16T05:00:00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x v="1"/>
    <x v="688"/>
    <d v="2014-11-02T05:00:00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x v="5"/>
    <x v="689"/>
    <d v="2018-03-07T06:00:00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x v="11"/>
    <x v="690"/>
    <d v="2019-08-30T05:00:00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x v="1"/>
    <x v="691"/>
    <d v="2017-07-27T05:00:00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x v="17"/>
    <x v="692"/>
    <d v="2012-12-09T06:00:00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x v="3"/>
    <x v="693"/>
    <d v="2012-06-12T05:00:00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x v="1"/>
    <x v="694"/>
    <d v="2011-05-21T05:00:00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x v="7"/>
    <x v="695"/>
    <d v="2017-05-10T05:00:00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x v="22"/>
    <x v="123"/>
    <d v="2018-09-20T05:00:00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x v="18"/>
    <x v="696"/>
    <d v="2015-11-20T06:00:00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x v="3"/>
    <x v="626"/>
    <d v="2013-12-26T06:00:00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x v="11"/>
    <x v="697"/>
    <d v="2013-09-10T05:00:00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x v="3"/>
    <x v="698"/>
    <d v="2014-04-21T05:00:00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x v="3"/>
    <x v="699"/>
    <d v="2019-02-22T06:00:00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x v="7"/>
    <x v="700"/>
    <d v="2019-02-13T06:00:00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x v="3"/>
    <x v="701"/>
    <d v="2017-04-23T05:00:00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x v="2"/>
    <x v="702"/>
    <d v="2016-07-03T05:00:00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x v="1"/>
    <x v="703"/>
    <d v="2014-11-16T06:00:00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x v="3"/>
    <x v="704"/>
    <d v="2019-07-22T05:00:00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x v="3"/>
    <x v="431"/>
    <d v="2011-10-22T05:00:00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x v="10"/>
    <x v="705"/>
    <d v="2011-08-18T05:00:0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x v="3"/>
    <x v="706"/>
    <d v="2015-08-23T05:00:00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x v="6"/>
    <x v="707"/>
    <d v="2016-08-10T05:00:00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x v="3"/>
    <x v="708"/>
    <d v="2010-12-21T06:00:00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x v="10"/>
    <x v="709"/>
    <d v="2011-03-29T05:00:0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x v="1"/>
    <x v="710"/>
    <d v="2013-12-24T06:00:00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x v="2"/>
    <x v="711"/>
    <d v="2016-03-17T05:00:00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x v="10"/>
    <x v="157"/>
    <d v="2019-05-31T05:00:0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x v="17"/>
    <x v="630"/>
    <d v="2018-04-03T05:00:00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x v="1"/>
    <x v="712"/>
    <d v="2011-05-30T05:00:00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x v="10"/>
    <x v="93"/>
    <d v="2012-11-10T06:00:0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x v="3"/>
    <x v="713"/>
    <d v="2014-07-03T05:00:00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x v="3"/>
    <x v="714"/>
    <d v="2010-02-20T06:00:00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0"/>
    <x v="0"/>
    <x v="715"/>
    <d v="2016-12-27T06:00:0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x v="3"/>
    <x v="716"/>
    <d v="2013-07-24T05:00:00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x v="9"/>
    <x v="448"/>
    <d v="2013-06-29T05:00:00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x v="1"/>
    <x v="717"/>
    <d v="2018-01-03T06:00:00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x v="6"/>
    <x v="718"/>
    <d v="2016-11-04T05:00:00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x v="20"/>
    <x v="719"/>
    <d v="2014-08-15T05:00:0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x v="2"/>
    <x v="720"/>
    <d v="2019-01-22T06:00:00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x v="3"/>
    <x v="721"/>
    <d v="2012-06-28T05:00:00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x v="3"/>
    <x v="722"/>
    <d v="2016-02-03T06:00:00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x v="1"/>
    <x v="139"/>
    <d v="2015-06-16T05:00:00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x v="14"/>
    <x v="723"/>
    <d v="2020-01-22T06:00:00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x v="14"/>
    <x v="704"/>
    <d v="2019-07-06T05:00:00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x v="3"/>
    <x v="724"/>
    <d v="2019-03-02T06:00:00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x v="1"/>
    <x v="725"/>
    <d v="2018-01-22T06:00:00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x v="4"/>
    <x v="660"/>
    <d v="2015-01-05T06:00:00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x v="6"/>
    <x v="726"/>
    <d v="2012-03-29T05:00:00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x v="3"/>
    <x v="727"/>
    <d v="2019-11-28T06:00:00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0"/>
    <x v="0"/>
    <x v="728"/>
    <d v="2016-06-03T05:00:0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x v="4"/>
    <x v="729"/>
    <d v="2012-08-15T05:00:00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x v="3"/>
    <x v="730"/>
    <d v="2017-12-08T06:00:00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x v="11"/>
    <x v="731"/>
    <d v="2016-01-11T06:00:00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x v="9"/>
    <x v="78"/>
    <d v="2018-04-21T05:00:00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x v="11"/>
    <x v="732"/>
    <d v="2012-09-06T05:00:00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x v="1"/>
    <x v="733"/>
    <d v="2016-05-29T05:00:00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x v="1"/>
    <x v="734"/>
    <d v="2017-12-25T06:00:00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x v="3"/>
    <x v="406"/>
    <d v="2014-02-12T06:00:00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x v="9"/>
    <x v="735"/>
    <d v="2019-06-01T05:00:00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x v="3"/>
    <x v="736"/>
    <d v="2019-02-03T06:00:00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x v="11"/>
    <x v="737"/>
    <d v="2012-12-09T06:00:00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x v="1"/>
    <x v="192"/>
    <d v="2018-08-11T05:00:00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x v="4"/>
    <x v="738"/>
    <d v="2017-03-13T05:00:00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x v="1"/>
    <x v="739"/>
    <d v="2014-03-17T05:00:00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x v="1"/>
    <x v="613"/>
    <d v="2014-10-05T05:00:00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x v="9"/>
    <x v="740"/>
    <d v="2010-07-21T05:00:00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x v="12"/>
    <x v="145"/>
    <d v="2017-08-06T05:00:00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x v="3"/>
    <x v="741"/>
    <d v="2011-01-10T06:00:00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x v="6"/>
    <x v="742"/>
    <d v="2011-05-15T05:00:00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x v="3"/>
    <x v="202"/>
    <d v="2018-09-22T05:00:00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x v="3"/>
    <x v="743"/>
    <d v="2015-06-24T05:00:00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x v="3"/>
    <x v="744"/>
    <d v="2018-03-03T06:00:00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x v="14"/>
    <x v="745"/>
    <d v="2012-04-29T05:00:00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x v="18"/>
    <x v="746"/>
    <d v="2015-11-25T06:00:00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x v="18"/>
    <x v="747"/>
    <d v="2011-02-25T06:00:00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x v="3"/>
    <x v="362"/>
    <d v="2013-06-29T05:00:00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x v="2"/>
    <x v="748"/>
    <d v="2015-03-06T06:00:00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x v="7"/>
    <x v="749"/>
    <d v="2010-02-16T06:00:00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x v="17"/>
    <x v="643"/>
    <d v="2011-05-20T05:00:00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x v="3"/>
    <x v="750"/>
    <d v="2018-10-06T05:00:00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x v="4"/>
    <x v="751"/>
    <d v="2014-05-01T05:00:00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x v="3"/>
    <x v="752"/>
    <d v="2014-07-18T05:00:00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x v="2"/>
    <x v="753"/>
    <d v="2016-03-06T06:00:00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x v="8"/>
    <x v="754"/>
    <d v="2018-06-18T05:00:00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x v="14"/>
    <x v="755"/>
    <d v="2018-09-01T05:00:00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x v="4"/>
    <x v="756"/>
    <d v="2012-01-25T06:00:00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x v="2"/>
    <x v="757"/>
    <d v="2018-06-21T05:00:00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x v="2"/>
    <x v="758"/>
    <d v="2018-08-26T05:00:00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0"/>
    <x v="0"/>
    <x v="759"/>
    <d v="2018-01-10T06:00:0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x v="6"/>
    <x v="760"/>
    <d v="2010-06-21T05:00:00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x v="7"/>
    <x v="761"/>
    <d v="2012-02-12T06:00:00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x v="1"/>
    <x v="762"/>
    <d v="2011-12-04T06:00:00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x v="5"/>
    <x v="444"/>
    <d v="2012-06-04T05:00:00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x v="11"/>
    <x v="763"/>
    <d v="2011-07-26T05:00:00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x v="7"/>
    <x v="764"/>
    <d v="2011-06-25T05:00:00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x v="13"/>
    <x v="765"/>
    <d v="2019-12-15T06:00:00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x v="3"/>
    <x v="766"/>
    <d v="2011-07-19T05:00:00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0"/>
    <x v="0"/>
    <x v="767"/>
    <d v="2012-05-11T05:00:0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x v="12"/>
    <x v="768"/>
    <d v="2012-02-28T06:00:00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0"/>
    <x v="0"/>
    <x v="769"/>
    <d v="2018-04-28T05:00:0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x v="3"/>
    <x v="770"/>
    <d v="2013-03-19T05:00:00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x v="8"/>
    <x v="771"/>
    <d v="2019-03-01T06:00:00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x v="3"/>
    <x v="772"/>
    <d v="2010-03-29T05:00:00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x v="3"/>
    <x v="773"/>
    <d v="2011-08-05T05:00:00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x v="19"/>
    <x v="774"/>
    <d v="2015-07-10T05:00:00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x v="12"/>
    <x v="775"/>
    <d v="2016-08-24T05:00:00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x v="3"/>
    <x v="776"/>
    <d v="2014-09-24T05:00:00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x v="14"/>
    <x v="777"/>
    <d v="2011-05-09T05:00:00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0"/>
    <x v="0"/>
    <x v="778"/>
    <d v="2018-10-15T05:00:0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x v="3"/>
    <x v="779"/>
    <d v="2013-10-23T05:00:00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x v="6"/>
    <x v="780"/>
    <d v="2010-07-05T05:00:00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x v="3"/>
    <x v="335"/>
    <d v="2015-09-18T05:00:00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x v="3"/>
    <x v="535"/>
    <d v="2017-11-19T06:00:00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x v="22"/>
    <x v="270"/>
    <d v="2018-09-08T05:00:00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x v="14"/>
    <x v="781"/>
    <d v="2014-01-13T06:00:00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x v="14"/>
    <x v="782"/>
    <d v="2010-05-31T05:00:00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x v="1"/>
    <x v="783"/>
    <d v="2011-01-14T06:00:00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x v="14"/>
    <x v="784"/>
    <d v="2019-07-02T05:00:00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0"/>
    <x v="0"/>
    <x v="785"/>
    <d v="2016-07-27T05:00:0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x v="16"/>
    <x v="786"/>
    <d v="2020-02-08T06:00:00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x v="9"/>
    <x v="787"/>
    <d v="2017-03-03T06:00:00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x v="5"/>
    <x v="788"/>
    <d v="2019-07-23T05:00:00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x v="3"/>
    <x v="330"/>
    <d v="2015-08-07T05:00:00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x v="3"/>
    <x v="789"/>
    <d v="2015-01-25T06:00:00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x v="12"/>
    <x v="790"/>
    <d v="2010-06-30T05:00:00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x v="3"/>
    <x v="791"/>
    <d v="2014-05-06T05:00:00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x v="3"/>
    <x v="792"/>
    <d v="2010-07-14T05:00:00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x v="7"/>
    <x v="793"/>
    <d v="2010-09-13T05:00:00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x v="3"/>
    <x v="794"/>
    <d v="2015-09-02T05:00:00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x v="3"/>
    <x v="795"/>
    <d v="2017-04-30T05:00:00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x v="5"/>
    <x v="796"/>
    <d v="2014-03-19T05:00:00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x v="7"/>
    <x v="797"/>
    <d v="2019-06-25T05:00:00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x v="4"/>
    <x v="798"/>
    <d v="2012-01-16T06:00:00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x v="18"/>
    <x v="799"/>
    <d v="2010-07-01T05:00:00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x v="4"/>
    <x v="800"/>
    <d v="2015-06-19T05:00:00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x v="19"/>
    <x v="801"/>
    <d v="2013-08-10T05:00:00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x v="3"/>
    <x v="802"/>
    <d v="2018-02-12T06:00:00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0"/>
    <x v="0"/>
    <x v="803"/>
    <d v="2011-07-17T05:00:0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x v="3"/>
    <x v="212"/>
    <d v="2019-04-30T05:00:00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x v="4"/>
    <x v="804"/>
    <d v="2019-12-22T06:00:00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x v="17"/>
    <x v="805"/>
    <d v="2013-10-25T05:00:00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x v="2"/>
    <x v="806"/>
    <d v="2014-09-20T05:00:00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x v="1"/>
    <x v="807"/>
    <d v="2018-08-19T05:00:00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x v="2"/>
    <x v="722"/>
    <d v="2016-03-12T06:00:00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x v="9"/>
    <x v="477"/>
    <d v="2012-05-20T05:00:00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x v="15"/>
    <x v="259"/>
    <d v="2012-10-08T05:00:00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x v="3"/>
    <x v="9"/>
    <d v="2013-09-22T05:00:00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x v="4"/>
    <x v="808"/>
    <d v="2017-06-18T05:00:00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x v="3"/>
    <x v="809"/>
    <d v="2011-05-04T05:00:00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x v="11"/>
    <x v="444"/>
    <d v="2012-05-13T05:00:00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x v="3"/>
    <x v="384"/>
    <d v="2018-07-01T05:00:00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x v="3"/>
    <x v="810"/>
    <d v="2015-01-23T06:00:00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x v="2"/>
    <x v="811"/>
    <d v="2019-09-11T05:00:00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x v="6"/>
    <x v="812"/>
    <d v="2012-09-18T05:00:00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x v="6"/>
    <x v="813"/>
    <d v="2019-05-25T05:00:00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x v="3"/>
    <x v="814"/>
    <d v="2013-08-16T05:00:00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x v="19"/>
    <x v="80"/>
    <d v="2017-09-07T05:00:00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x v="14"/>
    <x v="815"/>
    <d v="2014-12-27T06:00:00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x v="12"/>
    <x v="816"/>
    <d v="2011-07-22T05:00:00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x v="15"/>
    <x v="474"/>
    <d v="2012-08-07T05:00:00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x v="3"/>
    <x v="817"/>
    <d v="2017-11-15T06:00:00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x v="10"/>
    <x v="818"/>
    <d v="2019-02-27T06:00:0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x v="2"/>
    <x v="819"/>
    <d v="2012-02-26T06:00:00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x v="21"/>
    <x v="609"/>
    <d v="2018-12-18T06:00:00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x v="3"/>
    <x v="547"/>
    <d v="2010-07-15T05:00:00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x v="3"/>
    <x v="820"/>
    <d v="2019-11-11T06:00:00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x v="3"/>
    <x v="821"/>
    <d v="2017-10-04T05:00:00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0"/>
    <x v="0"/>
    <x v="151"/>
    <d v="2016-05-16T05:00:0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x v="3"/>
    <x v="822"/>
    <d v="2012-08-10T05:00:00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x v="2"/>
    <x v="823"/>
    <d v="2014-01-07T06:00:00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x v="3"/>
    <x v="824"/>
    <d v="2017-05-17T05:00:00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x v="3"/>
    <x v="825"/>
    <d v="2015-03-04T06:00:00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x v="3"/>
    <x v="826"/>
    <d v="2014-06-30T05:00:00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x v="1"/>
    <x v="827"/>
    <d v="2014-03-14T05:00:00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x v="3"/>
    <x v="828"/>
    <d v="2013-04-21T05:00:00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x v="3"/>
    <x v="829"/>
    <d v="2016-02-28T06:00:00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x v="3"/>
    <x v="830"/>
    <d v="2015-07-31T05:00:00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x v="3"/>
    <x v="831"/>
    <d v="2019-07-25T05:00:00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x v="4"/>
    <x v="832"/>
    <d v="2015-12-05T06:00:00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x v="13"/>
    <x v="833"/>
    <d v="2018-07-18T05:00:00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x v="11"/>
    <x v="834"/>
    <d v="2011-05-24T05:00:00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x v="2"/>
    <x v="835"/>
    <d v="2012-12-23T06:00:00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x v="3"/>
    <x v="836"/>
    <d v="2011-02-13T06:00:00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x v="3"/>
    <x v="837"/>
    <d v="2011-01-28T06:00:00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0"/>
    <x v="0"/>
    <x v="219"/>
    <d v="2014-10-29T05:00:0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x v="14"/>
    <x v="365"/>
    <d v="2017-03-01T06:00:00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x v="14"/>
    <x v="838"/>
    <d v="2012-04-20T05:00:00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x v="3"/>
    <x v="839"/>
    <d v="2011-06-18T05:00:00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x v="3"/>
    <x v="840"/>
    <d v="2014-10-03T05:00:00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x v="4"/>
    <x v="841"/>
    <d v="2014-12-22T06:00:00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x v="2"/>
    <x v="842"/>
    <d v="2015-05-07T05:00:00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x v="3"/>
    <x v="843"/>
    <d v="2019-04-21T05:00:00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x v="1"/>
    <x v="844"/>
    <d v="2016-12-27T06:00:00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x v="4"/>
    <x v="845"/>
    <d v="2016-08-23T05:00:00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x v="22"/>
    <x v="846"/>
    <d v="2016-01-25T06:00:00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x v="2"/>
    <x v="110"/>
    <d v="2012-10-16T05:00:00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x v="3"/>
    <x v="847"/>
    <d v="2012-11-27T06:00:00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x v="22"/>
    <x v="848"/>
    <d v="2015-12-26T06:00:00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x v="3"/>
    <x v="849"/>
    <d v="2012-02-19T06:00:00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x v="10"/>
    <x v="780"/>
    <d v="2010-07-13T05:00:0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x v="18"/>
    <x v="140"/>
    <d v="2010-07-26T05:00:00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x v="2"/>
    <x v="850"/>
    <d v="2016-03-16T05:00:00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x v="18"/>
    <x v="851"/>
    <d v="2011-02-21T06:00:00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0"/>
    <x v="0"/>
    <x v="852"/>
    <d v="2013-12-05T06:00:0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x v="14"/>
    <x v="853"/>
    <d v="2011-03-11T06:00:00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x v="3"/>
    <x v="854"/>
    <d v="2015-05-16T05:00:00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x v="1"/>
    <x v="67"/>
    <d v="2010-03-06T06:00:00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x v="3"/>
    <x v="855"/>
    <d v="2017-06-17T05:00:00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x v="21"/>
    <x v="107"/>
    <d v="2012-05-13T05:00:00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0"/>
    <x v="0"/>
    <x v="344"/>
    <d v="2011-01-16T06:00:0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x v="3"/>
    <x v="856"/>
    <d v="2019-12-29T06:00:00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x v="3"/>
    <x v="857"/>
    <d v="2011-05-10T05:00:00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x v="19"/>
    <x v="858"/>
    <d v="2013-10-14T05:00:00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x v="2"/>
    <x v="859"/>
    <d v="2014-06-11T05:00:00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x v="3"/>
    <x v="860"/>
    <d v="2010-12-12T06:00:00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x v="7"/>
    <x v="170"/>
    <d v="2013-05-19T05:00:00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x v="3"/>
    <x v="861"/>
    <d v="2016-01-07T06:00:00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x v="3"/>
    <x v="862"/>
    <d v="2011-02-03T06:00:00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0"/>
    <x v="0"/>
    <x v="863"/>
    <d v="2018-03-11T06:00:0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x v="11"/>
    <x v="864"/>
    <d v="2016-12-04T06:00:00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x v="3"/>
    <x v="527"/>
    <d v="2015-03-21T05:00:00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x v="9"/>
    <x v="865"/>
    <d v="2015-11-04T06:00:00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x v="2"/>
    <x v="866"/>
    <d v="2018-01-27T06:00:00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x v="4"/>
    <x v="867"/>
    <d v="2011-07-21T05:00:00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x v="4"/>
    <x v="868"/>
    <d v="2019-08-19T05:00:00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x v="3"/>
    <x v="105"/>
    <d v="2019-10-04T05:00:00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x v="1"/>
    <x v="481"/>
    <d v="2014-01-01T06:00:00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x v="1"/>
    <x v="253"/>
    <d v="2011-04-19T05:00:00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x v="4"/>
    <x v="869"/>
    <d v="2017-05-11T05:00:00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x v="15"/>
    <x v="864"/>
    <d v="2016-12-03T06:00:00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x v="18"/>
    <x v="843"/>
    <d v="2019-04-21T05:00:00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x v="6"/>
    <x v="289"/>
    <d v="2016-03-25T05:00:00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x v="1"/>
    <x v="870"/>
    <d v="2014-09-29T05:00:00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x v="6"/>
    <x v="871"/>
    <d v="2018-05-21T05:00:00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x v="14"/>
    <x v="872"/>
    <d v="2016-01-10T06:00:00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x v="18"/>
    <x v="873"/>
    <d v="2014-10-23T05:00:00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0"/>
    <x v="0"/>
    <x v="874"/>
    <d v="2018-12-03T06:00:0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x v="3"/>
    <x v="875"/>
    <d v="2013-02-01T06:00:00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x v="3"/>
    <x v="876"/>
    <d v="2014-01-25T06:00:00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x v="7"/>
    <x v="877"/>
    <d v="2010-02-25T06:00:00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x v="0"/>
    <x v="878"/>
    <d v="2016-07-06T05:00:00"/>
  </r>
  <r>
    <m/>
    <m/>
    <m/>
    <m/>
    <m/>
    <x v="4"/>
    <m/>
    <x v="7"/>
    <m/>
    <m/>
    <m/>
    <m/>
    <m/>
    <m/>
    <m/>
    <m/>
    <x v="9"/>
    <x v="24"/>
    <x v="87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DD97A5-95B8-4A62-AE74-7B291712FB70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A28D63-0100-40D8-9DE2-4AC93777F791}" name="PivotTable2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9E1C8-9EE8-4053-BA66-CB1F18AE76B5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1"/>
  <sheetViews>
    <sheetView tabSelected="1" workbookViewId="0">
      <selection activeCell="K20" sqref="K20"/>
    </sheetView>
  </sheetViews>
  <sheetFormatPr defaultColWidth="11.25" defaultRowHeight="15" customHeight="1" x14ac:dyDescent="0.25"/>
  <cols>
    <col min="1" max="1" width="8.25" customWidth="1"/>
    <col min="2" max="2" width="27.25" customWidth="1"/>
    <col min="3" max="3" width="49.25" customWidth="1"/>
    <col min="4" max="4" width="10.375" customWidth="1"/>
    <col min="5" max="5" width="13.5" customWidth="1"/>
    <col min="6" max="6" width="14.25" customWidth="1"/>
    <col min="7" max="7" width="10.25" customWidth="1"/>
    <col min="8" max="8" width="5.5" customWidth="1"/>
    <col min="9" max="9" width="7.75" customWidth="1"/>
    <col min="10" max="10" width="16.625" customWidth="1"/>
    <col min="11" max="11" width="12.875" customWidth="1"/>
    <col min="12" max="12" width="11.625" customWidth="1"/>
    <col min="13" max="13" width="11.875" customWidth="1"/>
    <col min="14" max="14" width="32.75" customWidth="1"/>
    <col min="15" max="15" width="20.125" customWidth="1"/>
    <col min="16" max="16" width="22.375" customWidth="1"/>
    <col min="17" max="17" width="20.625" customWidth="1"/>
    <col min="18" max="18" width="19.625" customWidth="1"/>
    <col min="19" max="19" width="22.875" customWidth="1"/>
    <col min="20" max="20" width="21.25" customWidth="1"/>
    <col min="21" max="26" width="11" customWidth="1"/>
  </cols>
  <sheetData>
    <row r="1" spans="1:26" ht="15.75" customHeight="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4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/>
      <c r="V1" s="1"/>
      <c r="W1" s="1"/>
      <c r="X1" s="1"/>
      <c r="Y1" s="1"/>
      <c r="Z1" s="1"/>
    </row>
    <row r="2" spans="1:26" ht="15.75" customHeight="1" x14ac:dyDescent="0.25">
      <c r="A2" s="5">
        <v>0</v>
      </c>
      <c r="B2" s="6" t="s">
        <v>20</v>
      </c>
      <c r="C2" s="7" t="s">
        <v>21</v>
      </c>
      <c r="D2" s="5">
        <v>100</v>
      </c>
      <c r="E2" s="5">
        <v>0</v>
      </c>
      <c r="F2" s="5" t="s">
        <v>22</v>
      </c>
      <c r="G2" s="5">
        <v>0</v>
      </c>
      <c r="H2" s="5" t="s">
        <v>23</v>
      </c>
      <c r="I2" s="5" t="s">
        <v>24</v>
      </c>
      <c r="J2" s="5">
        <v>1448690400</v>
      </c>
      <c r="K2" s="5">
        <v>1450159200</v>
      </c>
      <c r="L2" s="5" t="b">
        <v>0</v>
      </c>
      <c r="M2" s="5" t="b">
        <v>0</v>
      </c>
      <c r="N2" s="5" t="s">
        <v>25</v>
      </c>
      <c r="O2" s="8">
        <f t="shared" ref="O2:O256" si="0">E2/D2</f>
        <v>0</v>
      </c>
      <c r="P2" s="9">
        <v>0</v>
      </c>
      <c r="Q2" s="5" t="str" cm="1">
        <f t="array" ref="Q2:R2">_xlfn.TEXTSPLIT(N2,"/")</f>
        <v>food</v>
      </c>
      <c r="R2" t="str">
        <v>food trucks</v>
      </c>
      <c r="S2" s="10">
        <f t="shared" ref="S2:T2" si="1">(((J2/60)/60)/24)+DATE(1970,1,1)</f>
        <v>42336.25</v>
      </c>
      <c r="T2" s="10">
        <f t="shared" si="1"/>
        <v>42353.25</v>
      </c>
    </row>
    <row r="3" spans="1:26" ht="15.75" customHeight="1" x14ac:dyDescent="0.25">
      <c r="A3" s="5">
        <v>1</v>
      </c>
      <c r="B3" s="6" t="s">
        <v>26</v>
      </c>
      <c r="C3" s="7" t="s">
        <v>27</v>
      </c>
      <c r="D3" s="5">
        <v>1400</v>
      </c>
      <c r="E3" s="5">
        <v>14560</v>
      </c>
      <c r="F3" s="5" t="s">
        <v>28</v>
      </c>
      <c r="G3" s="5">
        <v>158</v>
      </c>
      <c r="H3" s="5" t="s">
        <v>29</v>
      </c>
      <c r="I3" s="5" t="s">
        <v>30</v>
      </c>
      <c r="J3" s="5">
        <v>1408424400</v>
      </c>
      <c r="K3" s="5">
        <v>1408597200</v>
      </c>
      <c r="L3" s="5" t="b">
        <v>0</v>
      </c>
      <c r="M3" s="5" t="b">
        <v>1</v>
      </c>
      <c r="N3" s="5" t="s">
        <v>31</v>
      </c>
      <c r="O3" s="8">
        <f t="shared" si="0"/>
        <v>10.4</v>
      </c>
      <c r="P3" s="9">
        <f t="shared" ref="P3:P257" si="2">E3/G3</f>
        <v>92.151898734177209</v>
      </c>
      <c r="Q3" s="5" t="str" cm="1">
        <f t="array" ref="Q3:R3">_xlfn.TEXTSPLIT(N3,"/")</f>
        <v>music</v>
      </c>
      <c r="R3" t="str">
        <v>rock</v>
      </c>
      <c r="S3" s="10">
        <f t="shared" ref="S3:T3" si="3">(((J3/60)/60)/24)+DATE(1970,1,1)</f>
        <v>41870.208333333336</v>
      </c>
      <c r="T3" s="10">
        <f t="shared" si="3"/>
        <v>41872.208333333336</v>
      </c>
    </row>
    <row r="4" spans="1:26" ht="15.75" customHeight="1" x14ac:dyDescent="0.25">
      <c r="A4" s="5">
        <v>2</v>
      </c>
      <c r="B4" s="6" t="s">
        <v>32</v>
      </c>
      <c r="C4" s="7" t="s">
        <v>33</v>
      </c>
      <c r="D4" s="5">
        <v>108400</v>
      </c>
      <c r="E4" s="5">
        <v>142523</v>
      </c>
      <c r="F4" s="5" t="s">
        <v>28</v>
      </c>
      <c r="G4" s="5">
        <v>1425</v>
      </c>
      <c r="H4" s="5" t="s">
        <v>34</v>
      </c>
      <c r="I4" s="5" t="s">
        <v>35</v>
      </c>
      <c r="J4" s="5">
        <v>1384668000</v>
      </c>
      <c r="K4" s="5">
        <v>1384840800</v>
      </c>
      <c r="L4" s="5" t="b">
        <v>0</v>
      </c>
      <c r="M4" s="5" t="b">
        <v>0</v>
      </c>
      <c r="N4" s="5" t="s">
        <v>36</v>
      </c>
      <c r="O4" s="8">
        <f t="shared" si="0"/>
        <v>1.3147878228782288</v>
      </c>
      <c r="P4" s="9">
        <f t="shared" si="2"/>
        <v>100.01614035087719</v>
      </c>
      <c r="Q4" s="5" t="str" cm="1">
        <f t="array" ref="Q4:R4">_xlfn.TEXTSPLIT(N4,"/")</f>
        <v>technology</v>
      </c>
      <c r="R4" t="str">
        <v>web</v>
      </c>
      <c r="S4" s="10">
        <f t="shared" ref="S4:T4" si="4">(((J4/60)/60)/24)+DATE(1970,1,1)</f>
        <v>41595.25</v>
      </c>
      <c r="T4" s="10">
        <f t="shared" si="4"/>
        <v>41597.25</v>
      </c>
    </row>
    <row r="5" spans="1:26" ht="15.75" customHeight="1" x14ac:dyDescent="0.25">
      <c r="A5" s="5">
        <v>3</v>
      </c>
      <c r="B5" s="6" t="s">
        <v>37</v>
      </c>
      <c r="C5" s="7" t="s">
        <v>38</v>
      </c>
      <c r="D5" s="5">
        <v>4200</v>
      </c>
      <c r="E5" s="5">
        <v>2477</v>
      </c>
      <c r="F5" s="5" t="s">
        <v>22</v>
      </c>
      <c r="G5" s="5">
        <v>24</v>
      </c>
      <c r="H5" s="5" t="s">
        <v>29</v>
      </c>
      <c r="I5" s="5" t="s">
        <v>30</v>
      </c>
      <c r="J5" s="5">
        <v>1565499600</v>
      </c>
      <c r="K5" s="5">
        <v>1568955600</v>
      </c>
      <c r="L5" s="5" t="b">
        <v>0</v>
      </c>
      <c r="M5" s="5" t="b">
        <v>0</v>
      </c>
      <c r="N5" s="5" t="s">
        <v>31</v>
      </c>
      <c r="O5" s="8">
        <f t="shared" si="0"/>
        <v>0.58976190476190471</v>
      </c>
      <c r="P5" s="9">
        <f t="shared" si="2"/>
        <v>103.20833333333333</v>
      </c>
      <c r="Q5" s="5" t="str" cm="1">
        <f t="array" ref="Q5:R5">_xlfn.TEXTSPLIT(N5,"/")</f>
        <v>music</v>
      </c>
      <c r="R5" t="str">
        <v>rock</v>
      </c>
      <c r="S5" s="10">
        <f t="shared" ref="S5:T5" si="5">(((J5/60)/60)/24)+DATE(1970,1,1)</f>
        <v>43688.208333333328</v>
      </c>
      <c r="T5" s="10">
        <f t="shared" si="5"/>
        <v>43728.208333333328</v>
      </c>
    </row>
    <row r="6" spans="1:26" ht="15.75" customHeight="1" x14ac:dyDescent="0.25">
      <c r="A6" s="5">
        <v>4</v>
      </c>
      <c r="B6" s="6" t="s">
        <v>39</v>
      </c>
      <c r="C6" s="7" t="s">
        <v>40</v>
      </c>
      <c r="D6" s="5">
        <v>7600</v>
      </c>
      <c r="E6" s="5">
        <v>5265</v>
      </c>
      <c r="F6" s="5" t="s">
        <v>22</v>
      </c>
      <c r="G6" s="5">
        <v>53</v>
      </c>
      <c r="H6" s="5" t="s">
        <v>29</v>
      </c>
      <c r="I6" s="5" t="s">
        <v>30</v>
      </c>
      <c r="J6" s="5">
        <v>1547964000</v>
      </c>
      <c r="K6" s="5">
        <v>1548309600</v>
      </c>
      <c r="L6" s="5" t="b">
        <v>0</v>
      </c>
      <c r="M6" s="5" t="b">
        <v>0</v>
      </c>
      <c r="N6" s="5" t="s">
        <v>41</v>
      </c>
      <c r="O6" s="8">
        <f t="shared" si="0"/>
        <v>0.69276315789473686</v>
      </c>
      <c r="P6" s="9">
        <f t="shared" si="2"/>
        <v>99.339622641509436</v>
      </c>
      <c r="Q6" s="5" t="str" cm="1">
        <f t="array" ref="Q6:R6">_xlfn.TEXTSPLIT(N6,"/")</f>
        <v>theater</v>
      </c>
      <c r="R6" t="str">
        <v>plays</v>
      </c>
      <c r="S6" s="10">
        <f t="shared" ref="S6:T6" si="6">(((J6/60)/60)/24)+DATE(1970,1,1)</f>
        <v>43485.25</v>
      </c>
      <c r="T6" s="10">
        <f t="shared" si="6"/>
        <v>43489.25</v>
      </c>
    </row>
    <row r="7" spans="1:26" ht="15.75" customHeight="1" x14ac:dyDescent="0.25">
      <c r="A7" s="5">
        <v>5</v>
      </c>
      <c r="B7" s="6" t="s">
        <v>42</v>
      </c>
      <c r="C7" s="7" t="s">
        <v>43</v>
      </c>
      <c r="D7" s="5">
        <v>7600</v>
      </c>
      <c r="E7" s="5">
        <v>13195</v>
      </c>
      <c r="F7" s="5" t="s">
        <v>28</v>
      </c>
      <c r="G7" s="5">
        <v>174</v>
      </c>
      <c r="H7" s="5" t="s">
        <v>44</v>
      </c>
      <c r="I7" s="5" t="s">
        <v>45</v>
      </c>
      <c r="J7" s="5">
        <v>1346130000</v>
      </c>
      <c r="K7" s="5">
        <v>1347080400</v>
      </c>
      <c r="L7" s="5" t="b">
        <v>0</v>
      </c>
      <c r="M7" s="5" t="b">
        <v>0</v>
      </c>
      <c r="N7" s="5" t="s">
        <v>41</v>
      </c>
      <c r="O7" s="8">
        <f t="shared" si="0"/>
        <v>1.7361842105263159</v>
      </c>
      <c r="P7" s="9">
        <f t="shared" si="2"/>
        <v>75.833333333333329</v>
      </c>
      <c r="Q7" s="5" t="str" cm="1">
        <f t="array" ref="Q7:R7">_xlfn.TEXTSPLIT(N7,"/")</f>
        <v>theater</v>
      </c>
      <c r="R7" t="str">
        <v>plays</v>
      </c>
      <c r="S7" s="10">
        <f t="shared" ref="S7:T7" si="7">(((J7/60)/60)/24)+DATE(1970,1,1)</f>
        <v>41149.208333333336</v>
      </c>
      <c r="T7" s="10">
        <f t="shared" si="7"/>
        <v>41160.208333333336</v>
      </c>
    </row>
    <row r="8" spans="1:26" ht="15.75" customHeight="1" x14ac:dyDescent="0.25">
      <c r="A8" s="5">
        <v>6</v>
      </c>
      <c r="B8" s="6" t="s">
        <v>46</v>
      </c>
      <c r="C8" s="7" t="s">
        <v>47</v>
      </c>
      <c r="D8" s="5">
        <v>5200</v>
      </c>
      <c r="E8" s="5">
        <v>1090</v>
      </c>
      <c r="F8" s="5" t="s">
        <v>22</v>
      </c>
      <c r="G8" s="5">
        <v>18</v>
      </c>
      <c r="H8" s="5" t="s">
        <v>48</v>
      </c>
      <c r="I8" s="5" t="s">
        <v>49</v>
      </c>
      <c r="J8" s="5">
        <v>1505278800</v>
      </c>
      <c r="K8" s="5">
        <v>1505365200</v>
      </c>
      <c r="L8" s="5" t="b">
        <v>0</v>
      </c>
      <c r="M8" s="5" t="b">
        <v>0</v>
      </c>
      <c r="N8" s="5" t="s">
        <v>50</v>
      </c>
      <c r="O8" s="8">
        <f t="shared" si="0"/>
        <v>0.20961538461538462</v>
      </c>
      <c r="P8" s="9">
        <f t="shared" si="2"/>
        <v>60.555555555555557</v>
      </c>
      <c r="Q8" s="5" t="str" cm="1">
        <f t="array" ref="Q8:R8">_xlfn.TEXTSPLIT(N8,"/")</f>
        <v>film &amp; video</v>
      </c>
      <c r="R8" t="str">
        <v>documentary</v>
      </c>
      <c r="S8" s="10">
        <f t="shared" ref="S8:T8" si="8">(((J8/60)/60)/24)+DATE(1970,1,1)</f>
        <v>42991.208333333328</v>
      </c>
      <c r="T8" s="10">
        <f t="shared" si="8"/>
        <v>42992.208333333328</v>
      </c>
    </row>
    <row r="9" spans="1:26" ht="15.75" customHeight="1" x14ac:dyDescent="0.25">
      <c r="A9" s="5">
        <v>7</v>
      </c>
      <c r="B9" s="6" t="s">
        <v>51</v>
      </c>
      <c r="C9" s="7" t="s">
        <v>52</v>
      </c>
      <c r="D9" s="5">
        <v>4500</v>
      </c>
      <c r="E9" s="5">
        <v>14741</v>
      </c>
      <c r="F9" s="5" t="s">
        <v>28</v>
      </c>
      <c r="G9" s="5">
        <v>227</v>
      </c>
      <c r="H9" s="5" t="s">
        <v>44</v>
      </c>
      <c r="I9" s="5" t="s">
        <v>45</v>
      </c>
      <c r="J9" s="5">
        <v>1439442000</v>
      </c>
      <c r="K9" s="5">
        <v>1439614800</v>
      </c>
      <c r="L9" s="5" t="b">
        <v>0</v>
      </c>
      <c r="M9" s="5" t="b">
        <v>0</v>
      </c>
      <c r="N9" s="5" t="s">
        <v>41</v>
      </c>
      <c r="O9" s="8">
        <f t="shared" si="0"/>
        <v>3.2757777777777779</v>
      </c>
      <c r="P9" s="9">
        <f t="shared" si="2"/>
        <v>64.93832599118943</v>
      </c>
      <c r="Q9" s="5" t="str" cm="1">
        <f t="array" ref="Q9:R9">_xlfn.TEXTSPLIT(N9,"/")</f>
        <v>theater</v>
      </c>
      <c r="R9" t="str">
        <v>plays</v>
      </c>
      <c r="S9" s="10">
        <f t="shared" ref="S9:T9" si="9">(((J9/60)/60)/24)+DATE(1970,1,1)</f>
        <v>42229.208333333328</v>
      </c>
      <c r="T9" s="10">
        <f t="shared" si="9"/>
        <v>42231.208333333328</v>
      </c>
    </row>
    <row r="10" spans="1:26" ht="15.75" customHeight="1" x14ac:dyDescent="0.25">
      <c r="A10" s="5">
        <v>8</v>
      </c>
      <c r="B10" s="6" t="s">
        <v>53</v>
      </c>
      <c r="C10" s="7" t="s">
        <v>54</v>
      </c>
      <c r="D10" s="5">
        <v>110100</v>
      </c>
      <c r="E10" s="5">
        <v>21946</v>
      </c>
      <c r="F10" s="5" t="s">
        <v>55</v>
      </c>
      <c r="G10" s="5">
        <v>708</v>
      </c>
      <c r="H10" s="5" t="s">
        <v>44</v>
      </c>
      <c r="I10" s="5" t="s">
        <v>45</v>
      </c>
      <c r="J10" s="5">
        <v>1281330000</v>
      </c>
      <c r="K10" s="5">
        <v>1281502800</v>
      </c>
      <c r="L10" s="5" t="b">
        <v>0</v>
      </c>
      <c r="M10" s="5" t="b">
        <v>0</v>
      </c>
      <c r="N10" s="5" t="s">
        <v>41</v>
      </c>
      <c r="O10" s="8">
        <f t="shared" si="0"/>
        <v>0.19932788374205268</v>
      </c>
      <c r="P10" s="9">
        <f t="shared" si="2"/>
        <v>30.997175141242938</v>
      </c>
      <c r="Q10" s="5" t="str" cm="1">
        <f t="array" ref="Q10:R10">_xlfn.TEXTSPLIT(N10,"/")</f>
        <v>theater</v>
      </c>
      <c r="R10" t="str">
        <v>plays</v>
      </c>
      <c r="S10" s="10">
        <f t="shared" ref="S10:T10" si="10">(((J10/60)/60)/24)+DATE(1970,1,1)</f>
        <v>40399.208333333336</v>
      </c>
      <c r="T10" s="10">
        <f t="shared" si="10"/>
        <v>40401.208333333336</v>
      </c>
    </row>
    <row r="11" spans="1:26" ht="15.75" customHeight="1" x14ac:dyDescent="0.25">
      <c r="A11" s="5">
        <v>9</v>
      </c>
      <c r="B11" s="6" t="s">
        <v>56</v>
      </c>
      <c r="C11" s="7" t="s">
        <v>57</v>
      </c>
      <c r="D11" s="5">
        <v>6200</v>
      </c>
      <c r="E11" s="5">
        <v>3208</v>
      </c>
      <c r="F11" s="5" t="s">
        <v>22</v>
      </c>
      <c r="G11" s="5">
        <v>44</v>
      </c>
      <c r="H11" s="5" t="s">
        <v>29</v>
      </c>
      <c r="I11" s="5" t="s">
        <v>30</v>
      </c>
      <c r="J11" s="5">
        <v>1379566800</v>
      </c>
      <c r="K11" s="5">
        <v>1383804000</v>
      </c>
      <c r="L11" s="5" t="b">
        <v>0</v>
      </c>
      <c r="M11" s="5" t="b">
        <v>0</v>
      </c>
      <c r="N11" s="5" t="s">
        <v>58</v>
      </c>
      <c r="O11" s="8">
        <f t="shared" si="0"/>
        <v>0.51741935483870971</v>
      </c>
      <c r="P11" s="9">
        <f t="shared" si="2"/>
        <v>72.909090909090907</v>
      </c>
      <c r="Q11" s="5" t="str" cm="1">
        <f t="array" ref="Q11:R11">_xlfn.TEXTSPLIT(N11,"/")</f>
        <v>music</v>
      </c>
      <c r="R11" t="str">
        <v>electric music</v>
      </c>
      <c r="S11" s="10">
        <f t="shared" ref="S11:T11" si="11">(((J11/60)/60)/24)+DATE(1970,1,1)</f>
        <v>41536.208333333336</v>
      </c>
      <c r="T11" s="10">
        <f t="shared" si="11"/>
        <v>41585.25</v>
      </c>
    </row>
    <row r="12" spans="1:26" ht="15.75" customHeight="1" x14ac:dyDescent="0.25">
      <c r="A12" s="5">
        <v>10</v>
      </c>
      <c r="B12" s="6" t="s">
        <v>59</v>
      </c>
      <c r="C12" s="7" t="s">
        <v>60</v>
      </c>
      <c r="D12" s="5">
        <v>5200</v>
      </c>
      <c r="E12" s="5">
        <v>13838</v>
      </c>
      <c r="F12" s="5" t="s">
        <v>28</v>
      </c>
      <c r="G12" s="5">
        <v>220</v>
      </c>
      <c r="H12" s="5" t="s">
        <v>29</v>
      </c>
      <c r="I12" s="5" t="s">
        <v>30</v>
      </c>
      <c r="J12" s="5">
        <v>1281762000</v>
      </c>
      <c r="K12" s="5">
        <v>1285909200</v>
      </c>
      <c r="L12" s="5" t="b">
        <v>0</v>
      </c>
      <c r="M12" s="5" t="b">
        <v>0</v>
      </c>
      <c r="N12" s="5" t="s">
        <v>61</v>
      </c>
      <c r="O12" s="8">
        <f t="shared" si="0"/>
        <v>2.6611538461538462</v>
      </c>
      <c r="P12" s="9">
        <f t="shared" si="2"/>
        <v>62.9</v>
      </c>
      <c r="Q12" s="5" t="str" cm="1">
        <f t="array" ref="Q12:R12">_xlfn.TEXTSPLIT(N12,"/")</f>
        <v>film &amp; video</v>
      </c>
      <c r="R12" t="str">
        <v>drama</v>
      </c>
      <c r="S12" s="10">
        <f t="shared" ref="S12:T12" si="12">(((J12/60)/60)/24)+DATE(1970,1,1)</f>
        <v>40404.208333333336</v>
      </c>
      <c r="T12" s="10">
        <f t="shared" si="12"/>
        <v>40452.208333333336</v>
      </c>
    </row>
    <row r="13" spans="1:26" ht="15.75" customHeight="1" x14ac:dyDescent="0.25">
      <c r="A13" s="5">
        <v>11</v>
      </c>
      <c r="B13" s="6" t="s">
        <v>62</v>
      </c>
      <c r="C13" s="7" t="s">
        <v>63</v>
      </c>
      <c r="D13" s="5">
        <v>6300</v>
      </c>
      <c r="E13" s="5">
        <v>3030</v>
      </c>
      <c r="F13" s="5" t="s">
        <v>22</v>
      </c>
      <c r="G13" s="5">
        <v>27</v>
      </c>
      <c r="H13" s="5" t="s">
        <v>29</v>
      </c>
      <c r="I13" s="5" t="s">
        <v>30</v>
      </c>
      <c r="J13" s="5">
        <v>1285045200</v>
      </c>
      <c r="K13" s="5">
        <v>1285563600</v>
      </c>
      <c r="L13" s="5" t="b">
        <v>0</v>
      </c>
      <c r="M13" s="5" t="b">
        <v>1</v>
      </c>
      <c r="N13" s="5" t="s">
        <v>41</v>
      </c>
      <c r="O13" s="8">
        <f t="shared" si="0"/>
        <v>0.48095238095238096</v>
      </c>
      <c r="P13" s="9">
        <f t="shared" si="2"/>
        <v>112.22222222222223</v>
      </c>
      <c r="Q13" s="5" t="str" cm="1">
        <f t="array" ref="Q13:R13">_xlfn.TEXTSPLIT(N13,"/")</f>
        <v>theater</v>
      </c>
      <c r="R13" t="str">
        <v>plays</v>
      </c>
      <c r="S13" s="10">
        <f t="shared" ref="S13:T13" si="13">(((J13/60)/60)/24)+DATE(1970,1,1)</f>
        <v>40442.208333333336</v>
      </c>
      <c r="T13" s="10">
        <f t="shared" si="13"/>
        <v>40448.208333333336</v>
      </c>
    </row>
    <row r="14" spans="1:26" ht="15.75" customHeight="1" x14ac:dyDescent="0.25">
      <c r="A14" s="5">
        <v>12</v>
      </c>
      <c r="B14" s="6" t="s">
        <v>64</v>
      </c>
      <c r="C14" s="7" t="s">
        <v>65</v>
      </c>
      <c r="D14" s="5">
        <v>6300</v>
      </c>
      <c r="E14" s="5">
        <v>5629</v>
      </c>
      <c r="F14" s="5" t="s">
        <v>22</v>
      </c>
      <c r="G14" s="5">
        <v>55</v>
      </c>
      <c r="H14" s="5" t="s">
        <v>29</v>
      </c>
      <c r="I14" s="5" t="s">
        <v>30</v>
      </c>
      <c r="J14" s="5">
        <v>1571720400</v>
      </c>
      <c r="K14" s="5">
        <v>1572411600</v>
      </c>
      <c r="L14" s="5" t="b">
        <v>0</v>
      </c>
      <c r="M14" s="5" t="b">
        <v>0</v>
      </c>
      <c r="N14" s="5" t="s">
        <v>61</v>
      </c>
      <c r="O14" s="8">
        <f t="shared" si="0"/>
        <v>0.89349206349206345</v>
      </c>
      <c r="P14" s="9">
        <f t="shared" si="2"/>
        <v>102.34545454545454</v>
      </c>
      <c r="Q14" s="5" t="str" cm="1">
        <f t="array" ref="Q14:R14">_xlfn.TEXTSPLIT(N14,"/")</f>
        <v>film &amp; video</v>
      </c>
      <c r="R14" t="str">
        <v>drama</v>
      </c>
      <c r="S14" s="10">
        <f t="shared" ref="S14:T14" si="14">(((J14/60)/60)/24)+DATE(1970,1,1)</f>
        <v>43760.208333333328</v>
      </c>
      <c r="T14" s="10">
        <f t="shared" si="14"/>
        <v>43768.208333333328</v>
      </c>
    </row>
    <row r="15" spans="1:26" ht="15.75" customHeight="1" x14ac:dyDescent="0.25">
      <c r="A15" s="5">
        <v>13</v>
      </c>
      <c r="B15" s="6" t="s">
        <v>66</v>
      </c>
      <c r="C15" s="7" t="s">
        <v>67</v>
      </c>
      <c r="D15" s="5">
        <v>4200</v>
      </c>
      <c r="E15" s="5">
        <v>10295</v>
      </c>
      <c r="F15" s="5" t="s">
        <v>28</v>
      </c>
      <c r="G15" s="5">
        <v>98</v>
      </c>
      <c r="H15" s="5" t="s">
        <v>29</v>
      </c>
      <c r="I15" s="5" t="s">
        <v>30</v>
      </c>
      <c r="J15" s="5">
        <v>1465621200</v>
      </c>
      <c r="K15" s="5">
        <v>1466658000</v>
      </c>
      <c r="L15" s="5" t="b">
        <v>0</v>
      </c>
      <c r="M15" s="5" t="b">
        <v>0</v>
      </c>
      <c r="N15" s="5" t="s">
        <v>68</v>
      </c>
      <c r="O15" s="8">
        <f t="shared" si="0"/>
        <v>2.4511904761904764</v>
      </c>
      <c r="P15" s="9">
        <f t="shared" si="2"/>
        <v>105.05102040816327</v>
      </c>
      <c r="Q15" s="5" t="str" cm="1">
        <f t="array" ref="Q15:R15">_xlfn.TEXTSPLIT(N15,"/")</f>
        <v>music</v>
      </c>
      <c r="R15" t="str">
        <v>indie rock</v>
      </c>
      <c r="S15" s="10">
        <f t="shared" ref="S15:T15" si="15">(((J15/60)/60)/24)+DATE(1970,1,1)</f>
        <v>42532.208333333328</v>
      </c>
      <c r="T15" s="10">
        <f t="shared" si="15"/>
        <v>42544.208333333328</v>
      </c>
    </row>
    <row r="16" spans="1:26" ht="15.75" customHeight="1" x14ac:dyDescent="0.25">
      <c r="A16" s="5">
        <v>14</v>
      </c>
      <c r="B16" s="6" t="s">
        <v>69</v>
      </c>
      <c r="C16" s="7" t="s">
        <v>70</v>
      </c>
      <c r="D16" s="5">
        <v>28200</v>
      </c>
      <c r="E16" s="5">
        <v>18829</v>
      </c>
      <c r="F16" s="5" t="s">
        <v>22</v>
      </c>
      <c r="G16" s="5">
        <v>200</v>
      </c>
      <c r="H16" s="5" t="s">
        <v>29</v>
      </c>
      <c r="I16" s="5" t="s">
        <v>30</v>
      </c>
      <c r="J16" s="5">
        <v>1331013600</v>
      </c>
      <c r="K16" s="5">
        <v>1333342800</v>
      </c>
      <c r="L16" s="5" t="b">
        <v>0</v>
      </c>
      <c r="M16" s="5" t="b">
        <v>0</v>
      </c>
      <c r="N16" s="5" t="s">
        <v>68</v>
      </c>
      <c r="O16" s="8">
        <f t="shared" si="0"/>
        <v>0.66769503546099296</v>
      </c>
      <c r="P16" s="9">
        <f t="shared" si="2"/>
        <v>94.144999999999996</v>
      </c>
      <c r="Q16" s="5" t="str" cm="1">
        <f t="array" ref="Q16:R16">_xlfn.TEXTSPLIT(N16,"/")</f>
        <v>music</v>
      </c>
      <c r="R16" t="str">
        <v>indie rock</v>
      </c>
      <c r="S16" s="10">
        <f t="shared" ref="S16:T16" si="16">(((J16/60)/60)/24)+DATE(1970,1,1)</f>
        <v>40974.25</v>
      </c>
      <c r="T16" s="10">
        <f t="shared" si="16"/>
        <v>41001.208333333336</v>
      </c>
    </row>
    <row r="17" spans="1:20" ht="15.75" customHeight="1" x14ac:dyDescent="0.25">
      <c r="A17" s="5">
        <v>15</v>
      </c>
      <c r="B17" s="6" t="s">
        <v>71</v>
      </c>
      <c r="C17" s="7" t="s">
        <v>72</v>
      </c>
      <c r="D17" s="5">
        <v>81200</v>
      </c>
      <c r="E17" s="5">
        <v>38414</v>
      </c>
      <c r="F17" s="5" t="s">
        <v>22</v>
      </c>
      <c r="G17" s="5">
        <v>452</v>
      </c>
      <c r="H17" s="5" t="s">
        <v>29</v>
      </c>
      <c r="I17" s="5" t="s">
        <v>30</v>
      </c>
      <c r="J17" s="5">
        <v>1575957600</v>
      </c>
      <c r="K17" s="5">
        <v>1576303200</v>
      </c>
      <c r="L17" s="5" t="b">
        <v>0</v>
      </c>
      <c r="M17" s="5" t="b">
        <v>0</v>
      </c>
      <c r="N17" s="5" t="s">
        <v>73</v>
      </c>
      <c r="O17" s="8">
        <f t="shared" si="0"/>
        <v>0.47307881773399013</v>
      </c>
      <c r="P17" s="9">
        <f t="shared" si="2"/>
        <v>84.986725663716811</v>
      </c>
      <c r="Q17" s="5" t="str" cm="1">
        <f t="array" ref="Q17:R17">_xlfn.TEXTSPLIT(N17,"/")</f>
        <v>technology</v>
      </c>
      <c r="R17" t="str">
        <v>wearables</v>
      </c>
      <c r="S17" s="10">
        <f t="shared" ref="S17:T17" si="17">(((J17/60)/60)/24)+DATE(1970,1,1)</f>
        <v>43809.25</v>
      </c>
      <c r="T17" s="10">
        <f t="shared" si="17"/>
        <v>43813.25</v>
      </c>
    </row>
    <row r="18" spans="1:20" ht="15.75" customHeight="1" x14ac:dyDescent="0.25">
      <c r="A18" s="5">
        <v>16</v>
      </c>
      <c r="B18" s="6" t="s">
        <v>74</v>
      </c>
      <c r="C18" s="7" t="s">
        <v>75</v>
      </c>
      <c r="D18" s="5">
        <v>1700</v>
      </c>
      <c r="E18" s="5">
        <v>11041</v>
      </c>
      <c r="F18" s="5" t="s">
        <v>28</v>
      </c>
      <c r="G18" s="5">
        <v>100</v>
      </c>
      <c r="H18" s="5" t="s">
        <v>29</v>
      </c>
      <c r="I18" s="5" t="s">
        <v>30</v>
      </c>
      <c r="J18" s="5">
        <v>1390370400</v>
      </c>
      <c r="K18" s="5">
        <v>1392271200</v>
      </c>
      <c r="L18" s="5" t="b">
        <v>0</v>
      </c>
      <c r="M18" s="5" t="b">
        <v>0</v>
      </c>
      <c r="N18" s="5" t="s">
        <v>76</v>
      </c>
      <c r="O18" s="8">
        <f t="shared" si="0"/>
        <v>6.4947058823529416</v>
      </c>
      <c r="P18" s="9">
        <f t="shared" si="2"/>
        <v>110.41</v>
      </c>
      <c r="Q18" s="5" t="str" cm="1">
        <f t="array" ref="Q18:R18">_xlfn.TEXTSPLIT(N18,"/")</f>
        <v>publishing</v>
      </c>
      <c r="R18" t="str">
        <v>nonfiction</v>
      </c>
      <c r="S18" s="10">
        <f t="shared" ref="S18:T18" si="18">(((J18/60)/60)/24)+DATE(1970,1,1)</f>
        <v>41661.25</v>
      </c>
      <c r="T18" s="10">
        <f t="shared" si="18"/>
        <v>41683.25</v>
      </c>
    </row>
    <row r="19" spans="1:20" ht="15.75" customHeight="1" x14ac:dyDescent="0.25">
      <c r="A19" s="5">
        <v>17</v>
      </c>
      <c r="B19" s="6" t="s">
        <v>77</v>
      </c>
      <c r="C19" s="7" t="s">
        <v>78</v>
      </c>
      <c r="D19" s="5">
        <v>84600</v>
      </c>
      <c r="E19" s="5">
        <v>134845</v>
      </c>
      <c r="F19" s="5" t="s">
        <v>28</v>
      </c>
      <c r="G19" s="5">
        <v>1249</v>
      </c>
      <c r="H19" s="5" t="s">
        <v>29</v>
      </c>
      <c r="I19" s="5" t="s">
        <v>30</v>
      </c>
      <c r="J19" s="5">
        <v>1294812000</v>
      </c>
      <c r="K19" s="5">
        <v>1294898400</v>
      </c>
      <c r="L19" s="5" t="b">
        <v>0</v>
      </c>
      <c r="M19" s="5" t="b">
        <v>0</v>
      </c>
      <c r="N19" s="5" t="s">
        <v>79</v>
      </c>
      <c r="O19" s="8">
        <f t="shared" si="0"/>
        <v>1.5939125295508274</v>
      </c>
      <c r="P19" s="9">
        <f t="shared" si="2"/>
        <v>107.96236989591674</v>
      </c>
      <c r="Q19" s="5" t="str" cm="1">
        <f t="array" ref="Q19:R19">_xlfn.TEXTSPLIT(N19,"/")</f>
        <v>film &amp; video</v>
      </c>
      <c r="R19" t="str">
        <v>animation</v>
      </c>
      <c r="S19" s="10">
        <f t="shared" ref="S19:T19" si="19">(((J19/60)/60)/24)+DATE(1970,1,1)</f>
        <v>40555.25</v>
      </c>
      <c r="T19" s="10">
        <f t="shared" si="19"/>
        <v>40556.25</v>
      </c>
    </row>
    <row r="20" spans="1:20" ht="15.75" customHeight="1" x14ac:dyDescent="0.25">
      <c r="A20" s="5">
        <v>18</v>
      </c>
      <c r="B20" s="6" t="s">
        <v>80</v>
      </c>
      <c r="C20" s="7" t="s">
        <v>81</v>
      </c>
      <c r="D20" s="5">
        <v>9100</v>
      </c>
      <c r="E20" s="5">
        <v>6089</v>
      </c>
      <c r="F20" s="5" t="s">
        <v>82</v>
      </c>
      <c r="G20" s="5">
        <v>135</v>
      </c>
      <c r="H20" s="5" t="s">
        <v>29</v>
      </c>
      <c r="I20" s="5" t="s">
        <v>30</v>
      </c>
      <c r="J20" s="5">
        <v>1536382800</v>
      </c>
      <c r="K20" s="5">
        <v>1537074000</v>
      </c>
      <c r="L20" s="5" t="b">
        <v>0</v>
      </c>
      <c r="M20" s="5" t="b">
        <v>0</v>
      </c>
      <c r="N20" s="5" t="s">
        <v>41</v>
      </c>
      <c r="O20" s="8">
        <f t="shared" si="0"/>
        <v>0.66912087912087914</v>
      </c>
      <c r="P20" s="9">
        <f t="shared" si="2"/>
        <v>45.103703703703701</v>
      </c>
      <c r="Q20" s="5" t="str" cm="1">
        <f t="array" ref="Q20:R20">_xlfn.TEXTSPLIT(N20,"/")</f>
        <v>theater</v>
      </c>
      <c r="R20" t="str">
        <v>plays</v>
      </c>
      <c r="S20" s="10">
        <f t="shared" ref="S20:T20" si="20">(((J20/60)/60)/24)+DATE(1970,1,1)</f>
        <v>43351.208333333328</v>
      </c>
      <c r="T20" s="10">
        <f t="shared" si="20"/>
        <v>43359.208333333328</v>
      </c>
    </row>
    <row r="21" spans="1:20" ht="15.75" customHeight="1" x14ac:dyDescent="0.25">
      <c r="A21" s="5">
        <v>19</v>
      </c>
      <c r="B21" s="6" t="s">
        <v>83</v>
      </c>
      <c r="C21" s="7" t="s">
        <v>84</v>
      </c>
      <c r="D21" s="5">
        <v>62500</v>
      </c>
      <c r="E21" s="5">
        <v>30331</v>
      </c>
      <c r="F21" s="5" t="s">
        <v>22</v>
      </c>
      <c r="G21" s="5">
        <v>674</v>
      </c>
      <c r="H21" s="5" t="s">
        <v>29</v>
      </c>
      <c r="I21" s="5" t="s">
        <v>30</v>
      </c>
      <c r="J21" s="5">
        <v>1551679200</v>
      </c>
      <c r="K21" s="5">
        <v>1553490000</v>
      </c>
      <c r="L21" s="5" t="b">
        <v>0</v>
      </c>
      <c r="M21" s="5" t="b">
        <v>1</v>
      </c>
      <c r="N21" s="5" t="s">
        <v>41</v>
      </c>
      <c r="O21" s="8">
        <f t="shared" si="0"/>
        <v>0.48529600000000001</v>
      </c>
      <c r="P21" s="9">
        <f t="shared" si="2"/>
        <v>45.001483679525222</v>
      </c>
      <c r="Q21" s="5" t="str" cm="1">
        <f t="array" ref="Q21:R21">_xlfn.TEXTSPLIT(N21,"/")</f>
        <v>theater</v>
      </c>
      <c r="R21" t="str">
        <v>plays</v>
      </c>
      <c r="S21" s="10">
        <f t="shared" ref="S21:T21" si="21">(((J21/60)/60)/24)+DATE(1970,1,1)</f>
        <v>43528.25</v>
      </c>
      <c r="T21" s="10">
        <f t="shared" si="21"/>
        <v>43549.208333333328</v>
      </c>
    </row>
    <row r="22" spans="1:20" ht="15.75" customHeight="1" x14ac:dyDescent="0.25">
      <c r="A22" s="5">
        <v>20</v>
      </c>
      <c r="B22" s="6" t="s">
        <v>85</v>
      </c>
      <c r="C22" s="7" t="s">
        <v>86</v>
      </c>
      <c r="D22" s="5">
        <v>131800</v>
      </c>
      <c r="E22" s="5">
        <v>147936</v>
      </c>
      <c r="F22" s="5" t="s">
        <v>28</v>
      </c>
      <c r="G22" s="5">
        <v>1396</v>
      </c>
      <c r="H22" s="5" t="s">
        <v>29</v>
      </c>
      <c r="I22" s="5" t="s">
        <v>30</v>
      </c>
      <c r="J22" s="5">
        <v>1406523600</v>
      </c>
      <c r="K22" s="5">
        <v>1406523600</v>
      </c>
      <c r="L22" s="5" t="b">
        <v>0</v>
      </c>
      <c r="M22" s="5" t="b">
        <v>0</v>
      </c>
      <c r="N22" s="5" t="s">
        <v>61</v>
      </c>
      <c r="O22" s="8">
        <f t="shared" si="0"/>
        <v>1.1224279210925645</v>
      </c>
      <c r="P22" s="9">
        <f t="shared" si="2"/>
        <v>105.97134670487107</v>
      </c>
      <c r="Q22" s="5" t="str" cm="1">
        <f t="array" ref="Q22:R22">_xlfn.TEXTSPLIT(N22,"/")</f>
        <v>film &amp; video</v>
      </c>
      <c r="R22" t="str">
        <v>drama</v>
      </c>
      <c r="S22" s="10">
        <f t="shared" ref="S22:T22" si="22">(((J22/60)/60)/24)+DATE(1970,1,1)</f>
        <v>41848.208333333336</v>
      </c>
      <c r="T22" s="10">
        <f t="shared" si="22"/>
        <v>41848.208333333336</v>
      </c>
    </row>
    <row r="23" spans="1:20" ht="15.75" customHeight="1" x14ac:dyDescent="0.25">
      <c r="A23" s="5">
        <v>21</v>
      </c>
      <c r="B23" s="6" t="s">
        <v>87</v>
      </c>
      <c r="C23" s="7" t="s">
        <v>88</v>
      </c>
      <c r="D23" s="5">
        <v>94000</v>
      </c>
      <c r="E23" s="5">
        <v>38533</v>
      </c>
      <c r="F23" s="5" t="s">
        <v>22</v>
      </c>
      <c r="G23" s="5">
        <v>558</v>
      </c>
      <c r="H23" s="5" t="s">
        <v>29</v>
      </c>
      <c r="I23" s="5" t="s">
        <v>30</v>
      </c>
      <c r="J23" s="5">
        <v>1313384400</v>
      </c>
      <c r="K23" s="5">
        <v>1316322000</v>
      </c>
      <c r="L23" s="5" t="b">
        <v>0</v>
      </c>
      <c r="M23" s="5" t="b">
        <v>0</v>
      </c>
      <c r="N23" s="5" t="s">
        <v>41</v>
      </c>
      <c r="O23" s="8">
        <f t="shared" si="0"/>
        <v>0.40992553191489361</v>
      </c>
      <c r="P23" s="9">
        <f t="shared" si="2"/>
        <v>69.055555555555557</v>
      </c>
      <c r="Q23" s="5" t="str" cm="1">
        <f t="array" ref="Q23:R23">_xlfn.TEXTSPLIT(N23,"/")</f>
        <v>theater</v>
      </c>
      <c r="R23" t="str">
        <v>plays</v>
      </c>
      <c r="S23" s="10">
        <f t="shared" ref="S23:T23" si="23">(((J23/60)/60)/24)+DATE(1970,1,1)</f>
        <v>40770.208333333336</v>
      </c>
      <c r="T23" s="10">
        <f t="shared" si="23"/>
        <v>40804.208333333336</v>
      </c>
    </row>
    <row r="24" spans="1:20" ht="15.75" customHeight="1" x14ac:dyDescent="0.25">
      <c r="A24" s="5">
        <v>22</v>
      </c>
      <c r="B24" s="6" t="s">
        <v>89</v>
      </c>
      <c r="C24" s="7" t="s">
        <v>90</v>
      </c>
      <c r="D24" s="5">
        <v>59100</v>
      </c>
      <c r="E24" s="5">
        <v>75690</v>
      </c>
      <c r="F24" s="5" t="s">
        <v>28</v>
      </c>
      <c r="G24" s="5">
        <v>890</v>
      </c>
      <c r="H24" s="5" t="s">
        <v>29</v>
      </c>
      <c r="I24" s="5" t="s">
        <v>30</v>
      </c>
      <c r="J24" s="5">
        <v>1522731600</v>
      </c>
      <c r="K24" s="5">
        <v>1524027600</v>
      </c>
      <c r="L24" s="5" t="b">
        <v>0</v>
      </c>
      <c r="M24" s="5" t="b">
        <v>0</v>
      </c>
      <c r="N24" s="5" t="s">
        <v>41</v>
      </c>
      <c r="O24" s="8">
        <f t="shared" si="0"/>
        <v>1.2807106598984772</v>
      </c>
      <c r="P24" s="9">
        <f t="shared" si="2"/>
        <v>85.044943820224717</v>
      </c>
      <c r="Q24" s="5" t="str" cm="1">
        <f t="array" ref="Q24:R24">_xlfn.TEXTSPLIT(N24,"/")</f>
        <v>theater</v>
      </c>
      <c r="R24" t="str">
        <v>plays</v>
      </c>
      <c r="S24" s="10">
        <f t="shared" ref="S24:T24" si="24">(((J24/60)/60)/24)+DATE(1970,1,1)</f>
        <v>43193.208333333328</v>
      </c>
      <c r="T24" s="10">
        <f t="shared" si="24"/>
        <v>43208.208333333328</v>
      </c>
    </row>
    <row r="25" spans="1:20" ht="15.75" customHeight="1" x14ac:dyDescent="0.25">
      <c r="A25" s="5">
        <v>23</v>
      </c>
      <c r="B25" s="6" t="s">
        <v>91</v>
      </c>
      <c r="C25" s="7" t="s">
        <v>92</v>
      </c>
      <c r="D25" s="5">
        <v>4500</v>
      </c>
      <c r="E25" s="5">
        <v>14942</v>
      </c>
      <c r="F25" s="5" t="s">
        <v>28</v>
      </c>
      <c r="G25" s="5">
        <v>142</v>
      </c>
      <c r="H25" s="5" t="s">
        <v>48</v>
      </c>
      <c r="I25" s="5" t="s">
        <v>49</v>
      </c>
      <c r="J25" s="5">
        <v>1550124000</v>
      </c>
      <c r="K25" s="5">
        <v>1554699600</v>
      </c>
      <c r="L25" s="5" t="b">
        <v>0</v>
      </c>
      <c r="M25" s="5" t="b">
        <v>0</v>
      </c>
      <c r="N25" s="5" t="s">
        <v>50</v>
      </c>
      <c r="O25" s="8">
        <f t="shared" si="0"/>
        <v>3.3204444444444445</v>
      </c>
      <c r="P25" s="9">
        <f t="shared" si="2"/>
        <v>105.22535211267606</v>
      </c>
      <c r="Q25" s="5" t="str" cm="1">
        <f t="array" ref="Q25:R25">_xlfn.TEXTSPLIT(N25,"/")</f>
        <v>film &amp; video</v>
      </c>
      <c r="R25" t="str">
        <v>documentary</v>
      </c>
      <c r="S25" s="10">
        <f t="shared" ref="S25:T25" si="25">(((J25/60)/60)/24)+DATE(1970,1,1)</f>
        <v>43510.25</v>
      </c>
      <c r="T25" s="10">
        <f t="shared" si="25"/>
        <v>43563.208333333328</v>
      </c>
    </row>
    <row r="26" spans="1:20" ht="15.75" customHeight="1" x14ac:dyDescent="0.25">
      <c r="A26" s="5">
        <v>24</v>
      </c>
      <c r="B26" s="6" t="s">
        <v>93</v>
      </c>
      <c r="C26" s="7" t="s">
        <v>94</v>
      </c>
      <c r="D26" s="5">
        <v>92400</v>
      </c>
      <c r="E26" s="5">
        <v>104257</v>
      </c>
      <c r="F26" s="5" t="s">
        <v>28</v>
      </c>
      <c r="G26" s="5">
        <v>2673</v>
      </c>
      <c r="H26" s="5" t="s">
        <v>29</v>
      </c>
      <c r="I26" s="5" t="s">
        <v>30</v>
      </c>
      <c r="J26" s="5">
        <v>1403326800</v>
      </c>
      <c r="K26" s="5">
        <v>1403499600</v>
      </c>
      <c r="L26" s="5" t="b">
        <v>0</v>
      </c>
      <c r="M26" s="5" t="b">
        <v>0</v>
      </c>
      <c r="N26" s="5" t="s">
        <v>73</v>
      </c>
      <c r="O26" s="8">
        <f t="shared" si="0"/>
        <v>1.1283225108225108</v>
      </c>
      <c r="P26" s="9">
        <f t="shared" si="2"/>
        <v>39.003741114852225</v>
      </c>
      <c r="Q26" s="5" t="str" cm="1">
        <f t="array" ref="Q26:R26">_xlfn.TEXTSPLIT(N26,"/")</f>
        <v>technology</v>
      </c>
      <c r="R26" t="str">
        <v>wearables</v>
      </c>
      <c r="S26" s="10">
        <f t="shared" ref="S26:T26" si="26">(((J26/60)/60)/24)+DATE(1970,1,1)</f>
        <v>41811.208333333336</v>
      </c>
      <c r="T26" s="10">
        <f t="shared" si="26"/>
        <v>41813.208333333336</v>
      </c>
    </row>
    <row r="27" spans="1:20" ht="15.75" customHeight="1" x14ac:dyDescent="0.25">
      <c r="A27" s="5">
        <v>25</v>
      </c>
      <c r="B27" s="6" t="s">
        <v>95</v>
      </c>
      <c r="C27" s="7" t="s">
        <v>96</v>
      </c>
      <c r="D27" s="5">
        <v>5500</v>
      </c>
      <c r="E27" s="5">
        <v>11904</v>
      </c>
      <c r="F27" s="5" t="s">
        <v>28</v>
      </c>
      <c r="G27" s="5">
        <v>163</v>
      </c>
      <c r="H27" s="5" t="s">
        <v>29</v>
      </c>
      <c r="I27" s="5" t="s">
        <v>30</v>
      </c>
      <c r="J27" s="5">
        <v>1305694800</v>
      </c>
      <c r="K27" s="5">
        <v>1307422800</v>
      </c>
      <c r="L27" s="5" t="b">
        <v>0</v>
      </c>
      <c r="M27" s="5" t="b">
        <v>1</v>
      </c>
      <c r="N27" s="5" t="s">
        <v>97</v>
      </c>
      <c r="O27" s="8">
        <f t="shared" si="0"/>
        <v>2.1643636363636363</v>
      </c>
      <c r="P27" s="9">
        <f t="shared" si="2"/>
        <v>73.030674846625772</v>
      </c>
      <c r="Q27" s="5" t="str" cm="1">
        <f t="array" ref="Q27:R27">_xlfn.TEXTSPLIT(N27,"/")</f>
        <v>games</v>
      </c>
      <c r="R27" t="str">
        <v>video games</v>
      </c>
      <c r="S27" s="10">
        <f t="shared" ref="S27:T27" si="27">(((J27/60)/60)/24)+DATE(1970,1,1)</f>
        <v>40681.208333333336</v>
      </c>
      <c r="T27" s="10">
        <f t="shared" si="27"/>
        <v>40701.208333333336</v>
      </c>
    </row>
    <row r="28" spans="1:20" ht="15.75" customHeight="1" x14ac:dyDescent="0.25">
      <c r="A28" s="5">
        <v>26</v>
      </c>
      <c r="B28" s="6" t="s">
        <v>98</v>
      </c>
      <c r="C28" s="7" t="s">
        <v>99</v>
      </c>
      <c r="D28" s="5">
        <v>107500</v>
      </c>
      <c r="E28" s="5">
        <v>51814</v>
      </c>
      <c r="F28" s="5" t="s">
        <v>82</v>
      </c>
      <c r="G28" s="5">
        <v>1480</v>
      </c>
      <c r="H28" s="5" t="s">
        <v>29</v>
      </c>
      <c r="I28" s="5" t="s">
        <v>30</v>
      </c>
      <c r="J28" s="5">
        <v>1533013200</v>
      </c>
      <c r="K28" s="5">
        <v>1535346000</v>
      </c>
      <c r="L28" s="5" t="b">
        <v>0</v>
      </c>
      <c r="M28" s="5" t="b">
        <v>0</v>
      </c>
      <c r="N28" s="5" t="s">
        <v>41</v>
      </c>
      <c r="O28" s="8">
        <f t="shared" si="0"/>
        <v>0.4819906976744186</v>
      </c>
      <c r="P28" s="9">
        <f t="shared" si="2"/>
        <v>35.009459459459457</v>
      </c>
      <c r="Q28" s="5" t="str" cm="1">
        <f t="array" ref="Q28:R28">_xlfn.TEXTSPLIT(N28,"/")</f>
        <v>theater</v>
      </c>
      <c r="R28" t="str">
        <v>plays</v>
      </c>
      <c r="S28" s="10">
        <f t="shared" ref="S28:T28" si="28">(((J28/60)/60)/24)+DATE(1970,1,1)</f>
        <v>43312.208333333328</v>
      </c>
      <c r="T28" s="10">
        <f t="shared" si="28"/>
        <v>43339.208333333328</v>
      </c>
    </row>
    <row r="29" spans="1:20" ht="15.75" customHeight="1" x14ac:dyDescent="0.25">
      <c r="A29" s="5">
        <v>27</v>
      </c>
      <c r="B29" s="6" t="s">
        <v>100</v>
      </c>
      <c r="C29" s="7" t="s">
        <v>101</v>
      </c>
      <c r="D29" s="5">
        <v>2000</v>
      </c>
      <c r="E29" s="5">
        <v>1599</v>
      </c>
      <c r="F29" s="5" t="s">
        <v>22</v>
      </c>
      <c r="G29" s="5">
        <v>15</v>
      </c>
      <c r="H29" s="5" t="s">
        <v>29</v>
      </c>
      <c r="I29" s="5" t="s">
        <v>30</v>
      </c>
      <c r="J29" s="5">
        <v>1443848400</v>
      </c>
      <c r="K29" s="5">
        <v>1444539600</v>
      </c>
      <c r="L29" s="5" t="b">
        <v>0</v>
      </c>
      <c r="M29" s="5" t="b">
        <v>0</v>
      </c>
      <c r="N29" s="5" t="s">
        <v>31</v>
      </c>
      <c r="O29" s="8">
        <f t="shared" si="0"/>
        <v>0.79949999999999999</v>
      </c>
      <c r="P29" s="9">
        <f t="shared" si="2"/>
        <v>106.6</v>
      </c>
      <c r="Q29" s="5" t="str" cm="1">
        <f t="array" ref="Q29:R29">_xlfn.TEXTSPLIT(N29,"/")</f>
        <v>music</v>
      </c>
      <c r="R29" t="str">
        <v>rock</v>
      </c>
      <c r="S29" s="10">
        <f t="shared" ref="S29:T29" si="29">(((J29/60)/60)/24)+DATE(1970,1,1)</f>
        <v>42280.208333333328</v>
      </c>
      <c r="T29" s="10">
        <f t="shared" si="29"/>
        <v>42288.208333333328</v>
      </c>
    </row>
    <row r="30" spans="1:20" ht="15.75" customHeight="1" x14ac:dyDescent="0.25">
      <c r="A30" s="5">
        <v>28</v>
      </c>
      <c r="B30" s="6" t="s">
        <v>102</v>
      </c>
      <c r="C30" s="7" t="s">
        <v>103</v>
      </c>
      <c r="D30" s="5">
        <v>130800</v>
      </c>
      <c r="E30" s="5">
        <v>137635</v>
      </c>
      <c r="F30" s="5" t="s">
        <v>28</v>
      </c>
      <c r="G30" s="5">
        <v>2220</v>
      </c>
      <c r="H30" s="5" t="s">
        <v>29</v>
      </c>
      <c r="I30" s="5" t="s">
        <v>30</v>
      </c>
      <c r="J30" s="5">
        <v>1265695200</v>
      </c>
      <c r="K30" s="5">
        <v>1267682400</v>
      </c>
      <c r="L30" s="5" t="b">
        <v>0</v>
      </c>
      <c r="M30" s="5" t="b">
        <v>1</v>
      </c>
      <c r="N30" s="5" t="s">
        <v>41</v>
      </c>
      <c r="O30" s="8">
        <f t="shared" si="0"/>
        <v>1.0522553516819573</v>
      </c>
      <c r="P30" s="9">
        <f t="shared" si="2"/>
        <v>61.997747747747745</v>
      </c>
      <c r="Q30" s="5" t="str" cm="1">
        <f t="array" ref="Q30:R30">_xlfn.TEXTSPLIT(N30,"/")</f>
        <v>theater</v>
      </c>
      <c r="R30" t="str">
        <v>plays</v>
      </c>
      <c r="S30" s="10">
        <f t="shared" ref="S30:T30" si="30">(((J30/60)/60)/24)+DATE(1970,1,1)</f>
        <v>40218.25</v>
      </c>
      <c r="T30" s="10">
        <f t="shared" si="30"/>
        <v>40241.25</v>
      </c>
    </row>
    <row r="31" spans="1:20" ht="15.75" customHeight="1" x14ac:dyDescent="0.25">
      <c r="A31" s="5">
        <v>29</v>
      </c>
      <c r="B31" s="6" t="s">
        <v>104</v>
      </c>
      <c r="C31" s="7" t="s">
        <v>105</v>
      </c>
      <c r="D31" s="5">
        <v>45900</v>
      </c>
      <c r="E31" s="5">
        <v>150965</v>
      </c>
      <c r="F31" s="5" t="s">
        <v>28</v>
      </c>
      <c r="G31" s="5">
        <v>1606</v>
      </c>
      <c r="H31" s="5" t="s">
        <v>106</v>
      </c>
      <c r="I31" s="5" t="s">
        <v>107</v>
      </c>
      <c r="J31" s="5">
        <v>1532062800</v>
      </c>
      <c r="K31" s="5">
        <v>1535518800</v>
      </c>
      <c r="L31" s="5" t="b">
        <v>0</v>
      </c>
      <c r="M31" s="5" t="b">
        <v>0</v>
      </c>
      <c r="N31" s="5" t="s">
        <v>108</v>
      </c>
      <c r="O31" s="8">
        <f t="shared" si="0"/>
        <v>3.2889978213507627</v>
      </c>
      <c r="P31" s="9">
        <f t="shared" si="2"/>
        <v>94.000622665006233</v>
      </c>
      <c r="Q31" s="5" t="str" cm="1">
        <f t="array" ref="Q31:R31">_xlfn.TEXTSPLIT(N31,"/")</f>
        <v>film &amp; video</v>
      </c>
      <c r="R31" t="str">
        <v>shorts</v>
      </c>
      <c r="S31" s="10">
        <f t="shared" ref="S31:T31" si="31">(((J31/60)/60)/24)+DATE(1970,1,1)</f>
        <v>43301.208333333328</v>
      </c>
      <c r="T31" s="10">
        <f t="shared" si="31"/>
        <v>43341.208333333328</v>
      </c>
    </row>
    <row r="32" spans="1:20" ht="15.75" customHeight="1" x14ac:dyDescent="0.25">
      <c r="A32" s="5">
        <v>30</v>
      </c>
      <c r="B32" s="6" t="s">
        <v>109</v>
      </c>
      <c r="C32" s="7" t="s">
        <v>110</v>
      </c>
      <c r="D32" s="5">
        <v>9000</v>
      </c>
      <c r="E32" s="5">
        <v>14455</v>
      </c>
      <c r="F32" s="5" t="s">
        <v>28</v>
      </c>
      <c r="G32" s="5">
        <v>129</v>
      </c>
      <c r="H32" s="5" t="s">
        <v>29</v>
      </c>
      <c r="I32" s="5" t="s">
        <v>30</v>
      </c>
      <c r="J32" s="5">
        <v>1558674000</v>
      </c>
      <c r="K32" s="5">
        <v>1559106000</v>
      </c>
      <c r="L32" s="5" t="b">
        <v>0</v>
      </c>
      <c r="M32" s="5" t="b">
        <v>0</v>
      </c>
      <c r="N32" s="5" t="s">
        <v>79</v>
      </c>
      <c r="O32" s="8">
        <f t="shared" si="0"/>
        <v>1.606111111111111</v>
      </c>
      <c r="P32" s="9">
        <f t="shared" si="2"/>
        <v>112.05426356589147</v>
      </c>
      <c r="Q32" s="5" t="str" cm="1">
        <f t="array" ref="Q32:R32">_xlfn.TEXTSPLIT(N32,"/")</f>
        <v>film &amp; video</v>
      </c>
      <c r="R32" t="str">
        <v>animation</v>
      </c>
      <c r="S32" s="10">
        <f t="shared" ref="S32:T32" si="32">(((J32/60)/60)/24)+DATE(1970,1,1)</f>
        <v>43609.208333333328</v>
      </c>
      <c r="T32" s="10">
        <f t="shared" si="32"/>
        <v>43614.208333333328</v>
      </c>
    </row>
    <row r="33" spans="1:20" ht="15.75" customHeight="1" x14ac:dyDescent="0.25">
      <c r="A33" s="5">
        <v>31</v>
      </c>
      <c r="B33" s="6" t="s">
        <v>111</v>
      </c>
      <c r="C33" s="7" t="s">
        <v>112</v>
      </c>
      <c r="D33" s="5">
        <v>3500</v>
      </c>
      <c r="E33" s="5">
        <v>10850</v>
      </c>
      <c r="F33" s="5" t="s">
        <v>28</v>
      </c>
      <c r="G33" s="5">
        <v>226</v>
      </c>
      <c r="H33" s="5" t="s">
        <v>48</v>
      </c>
      <c r="I33" s="5" t="s">
        <v>49</v>
      </c>
      <c r="J33" s="5">
        <v>1451973600</v>
      </c>
      <c r="K33" s="5">
        <v>1454392800</v>
      </c>
      <c r="L33" s="5" t="b">
        <v>0</v>
      </c>
      <c r="M33" s="5" t="b">
        <v>0</v>
      </c>
      <c r="N33" s="5" t="s">
        <v>97</v>
      </c>
      <c r="O33" s="8">
        <f t="shared" si="0"/>
        <v>3.1</v>
      </c>
      <c r="P33" s="9">
        <f t="shared" si="2"/>
        <v>48.008849557522126</v>
      </c>
      <c r="Q33" s="5" t="str" cm="1">
        <f t="array" ref="Q33:R33">_xlfn.TEXTSPLIT(N33,"/")</f>
        <v>games</v>
      </c>
      <c r="R33" t="str">
        <v>video games</v>
      </c>
      <c r="S33" s="10">
        <f t="shared" ref="S33:T33" si="33">(((J33/60)/60)/24)+DATE(1970,1,1)</f>
        <v>42374.25</v>
      </c>
      <c r="T33" s="10">
        <f t="shared" si="33"/>
        <v>42402.25</v>
      </c>
    </row>
    <row r="34" spans="1:20" ht="15.75" customHeight="1" x14ac:dyDescent="0.25">
      <c r="A34" s="5">
        <v>32</v>
      </c>
      <c r="B34" s="6" t="s">
        <v>113</v>
      </c>
      <c r="C34" s="7" t="s">
        <v>114</v>
      </c>
      <c r="D34" s="5">
        <v>101000</v>
      </c>
      <c r="E34" s="5">
        <v>87676</v>
      </c>
      <c r="F34" s="5" t="s">
        <v>22</v>
      </c>
      <c r="G34" s="5">
        <v>2307</v>
      </c>
      <c r="H34" s="5" t="s">
        <v>115</v>
      </c>
      <c r="I34" s="5" t="s">
        <v>116</v>
      </c>
      <c r="J34" s="5">
        <v>1515564000</v>
      </c>
      <c r="K34" s="5">
        <v>1517896800</v>
      </c>
      <c r="L34" s="5" t="b">
        <v>0</v>
      </c>
      <c r="M34" s="5" t="b">
        <v>0</v>
      </c>
      <c r="N34" s="5" t="s">
        <v>50</v>
      </c>
      <c r="O34" s="8">
        <f t="shared" si="0"/>
        <v>0.86807920792079207</v>
      </c>
      <c r="P34" s="9">
        <f t="shared" si="2"/>
        <v>38.004334633723452</v>
      </c>
      <c r="Q34" s="5" t="str" cm="1">
        <f t="array" ref="Q34:R34">_xlfn.TEXTSPLIT(N34,"/")</f>
        <v>film &amp; video</v>
      </c>
      <c r="R34" t="str">
        <v>documentary</v>
      </c>
      <c r="S34" s="10">
        <f t="shared" ref="S34:T34" si="34">(((J34/60)/60)/24)+DATE(1970,1,1)</f>
        <v>43110.25</v>
      </c>
      <c r="T34" s="10">
        <f t="shared" si="34"/>
        <v>43137.25</v>
      </c>
    </row>
    <row r="35" spans="1:20" ht="15.75" customHeight="1" x14ac:dyDescent="0.25">
      <c r="A35" s="5">
        <v>33</v>
      </c>
      <c r="B35" s="6" t="s">
        <v>117</v>
      </c>
      <c r="C35" s="7" t="s">
        <v>118</v>
      </c>
      <c r="D35" s="5">
        <v>50200</v>
      </c>
      <c r="E35" s="5">
        <v>189666</v>
      </c>
      <c r="F35" s="5" t="s">
        <v>28</v>
      </c>
      <c r="G35" s="5">
        <v>5419</v>
      </c>
      <c r="H35" s="5" t="s">
        <v>29</v>
      </c>
      <c r="I35" s="5" t="s">
        <v>30</v>
      </c>
      <c r="J35" s="5">
        <v>1412485200</v>
      </c>
      <c r="K35" s="5">
        <v>1415685600</v>
      </c>
      <c r="L35" s="5" t="b">
        <v>0</v>
      </c>
      <c r="M35" s="5" t="b">
        <v>0</v>
      </c>
      <c r="N35" s="5" t="s">
        <v>41</v>
      </c>
      <c r="O35" s="8">
        <f t="shared" si="0"/>
        <v>3.7782071713147412</v>
      </c>
      <c r="P35" s="9">
        <f t="shared" si="2"/>
        <v>35.000184535892231</v>
      </c>
      <c r="Q35" s="5" t="str" cm="1">
        <f t="array" ref="Q35:R35">_xlfn.TEXTSPLIT(N35,"/")</f>
        <v>theater</v>
      </c>
      <c r="R35" t="str">
        <v>plays</v>
      </c>
      <c r="S35" s="10">
        <f t="shared" ref="S35:T35" si="35">(((J35/60)/60)/24)+DATE(1970,1,1)</f>
        <v>41917.208333333336</v>
      </c>
      <c r="T35" s="10">
        <f t="shared" si="35"/>
        <v>41954.25</v>
      </c>
    </row>
    <row r="36" spans="1:20" ht="15.75" customHeight="1" x14ac:dyDescent="0.25">
      <c r="A36" s="5">
        <v>34</v>
      </c>
      <c r="B36" s="6" t="s">
        <v>119</v>
      </c>
      <c r="C36" s="7" t="s">
        <v>120</v>
      </c>
      <c r="D36" s="5">
        <v>9300</v>
      </c>
      <c r="E36" s="5">
        <v>14025</v>
      </c>
      <c r="F36" s="5" t="s">
        <v>28</v>
      </c>
      <c r="G36" s="5">
        <v>165</v>
      </c>
      <c r="H36" s="5" t="s">
        <v>29</v>
      </c>
      <c r="I36" s="5" t="s">
        <v>30</v>
      </c>
      <c r="J36" s="5">
        <v>1490245200</v>
      </c>
      <c r="K36" s="5">
        <v>1490677200</v>
      </c>
      <c r="L36" s="5" t="b">
        <v>0</v>
      </c>
      <c r="M36" s="5" t="b">
        <v>0</v>
      </c>
      <c r="N36" s="5" t="s">
        <v>50</v>
      </c>
      <c r="O36" s="8">
        <f t="shared" si="0"/>
        <v>1.5080645161290323</v>
      </c>
      <c r="P36" s="9">
        <f t="shared" si="2"/>
        <v>85</v>
      </c>
      <c r="Q36" s="5" t="str" cm="1">
        <f t="array" ref="Q36:R36">_xlfn.TEXTSPLIT(N36,"/")</f>
        <v>film &amp; video</v>
      </c>
      <c r="R36" t="str">
        <v>documentary</v>
      </c>
      <c r="S36" s="10">
        <f t="shared" ref="S36:T36" si="36">(((J36/60)/60)/24)+DATE(1970,1,1)</f>
        <v>42817.208333333328</v>
      </c>
      <c r="T36" s="10">
        <f t="shared" si="36"/>
        <v>42822.208333333328</v>
      </c>
    </row>
    <row r="37" spans="1:20" ht="15.75" customHeight="1" x14ac:dyDescent="0.25">
      <c r="A37" s="5">
        <v>35</v>
      </c>
      <c r="B37" s="6" t="s">
        <v>121</v>
      </c>
      <c r="C37" s="7" t="s">
        <v>122</v>
      </c>
      <c r="D37" s="5">
        <v>125500</v>
      </c>
      <c r="E37" s="5">
        <v>188628</v>
      </c>
      <c r="F37" s="5" t="s">
        <v>28</v>
      </c>
      <c r="G37" s="5">
        <v>1965</v>
      </c>
      <c r="H37" s="5" t="s">
        <v>44</v>
      </c>
      <c r="I37" s="5" t="s">
        <v>45</v>
      </c>
      <c r="J37" s="5">
        <v>1547877600</v>
      </c>
      <c r="K37" s="5">
        <v>1551506400</v>
      </c>
      <c r="L37" s="5" t="b">
        <v>0</v>
      </c>
      <c r="M37" s="5" t="b">
        <v>1</v>
      </c>
      <c r="N37" s="5" t="s">
        <v>61</v>
      </c>
      <c r="O37" s="8">
        <f t="shared" si="0"/>
        <v>1.5030119521912351</v>
      </c>
      <c r="P37" s="9">
        <f t="shared" si="2"/>
        <v>95.993893129770996</v>
      </c>
      <c r="Q37" s="5" t="str" cm="1">
        <f t="array" ref="Q37:R37">_xlfn.TEXTSPLIT(N37,"/")</f>
        <v>film &amp; video</v>
      </c>
      <c r="R37" t="str">
        <v>drama</v>
      </c>
      <c r="S37" s="10">
        <f t="shared" ref="S37:T37" si="37">(((J37/60)/60)/24)+DATE(1970,1,1)</f>
        <v>43484.25</v>
      </c>
      <c r="T37" s="10">
        <f t="shared" si="37"/>
        <v>43526.25</v>
      </c>
    </row>
    <row r="38" spans="1:20" ht="15.75" customHeight="1" x14ac:dyDescent="0.25">
      <c r="A38" s="5">
        <v>36</v>
      </c>
      <c r="B38" s="6" t="s">
        <v>123</v>
      </c>
      <c r="C38" s="7" t="s">
        <v>124</v>
      </c>
      <c r="D38" s="5">
        <v>700</v>
      </c>
      <c r="E38" s="5">
        <v>1101</v>
      </c>
      <c r="F38" s="5" t="s">
        <v>28</v>
      </c>
      <c r="G38" s="5">
        <v>16</v>
      </c>
      <c r="H38" s="5" t="s">
        <v>29</v>
      </c>
      <c r="I38" s="5" t="s">
        <v>30</v>
      </c>
      <c r="J38" s="5">
        <v>1298700000</v>
      </c>
      <c r="K38" s="5">
        <v>1300856400</v>
      </c>
      <c r="L38" s="5" t="b">
        <v>0</v>
      </c>
      <c r="M38" s="5" t="b">
        <v>0</v>
      </c>
      <c r="N38" s="5" t="s">
        <v>41</v>
      </c>
      <c r="O38" s="8">
        <f t="shared" si="0"/>
        <v>1.572857142857143</v>
      </c>
      <c r="P38" s="9">
        <f t="shared" si="2"/>
        <v>68.8125</v>
      </c>
      <c r="Q38" s="5" t="str" cm="1">
        <f t="array" ref="Q38:R38">_xlfn.TEXTSPLIT(N38,"/")</f>
        <v>theater</v>
      </c>
      <c r="R38" t="str">
        <v>plays</v>
      </c>
      <c r="S38" s="10">
        <f t="shared" ref="S38:T38" si="38">(((J38/60)/60)/24)+DATE(1970,1,1)</f>
        <v>40600.25</v>
      </c>
      <c r="T38" s="10">
        <f t="shared" si="38"/>
        <v>40625.208333333336</v>
      </c>
    </row>
    <row r="39" spans="1:20" ht="15.75" customHeight="1" x14ac:dyDescent="0.25">
      <c r="A39" s="5">
        <v>37</v>
      </c>
      <c r="B39" s="6" t="s">
        <v>125</v>
      </c>
      <c r="C39" s="7" t="s">
        <v>126</v>
      </c>
      <c r="D39" s="5">
        <v>8100</v>
      </c>
      <c r="E39" s="5">
        <v>11339</v>
      </c>
      <c r="F39" s="5" t="s">
        <v>28</v>
      </c>
      <c r="G39" s="5">
        <v>107</v>
      </c>
      <c r="H39" s="5" t="s">
        <v>29</v>
      </c>
      <c r="I39" s="5" t="s">
        <v>30</v>
      </c>
      <c r="J39" s="5">
        <v>1570338000</v>
      </c>
      <c r="K39" s="5">
        <v>1573192800</v>
      </c>
      <c r="L39" s="5" t="b">
        <v>0</v>
      </c>
      <c r="M39" s="5" t="b">
        <v>1</v>
      </c>
      <c r="N39" s="5" t="s">
        <v>127</v>
      </c>
      <c r="O39" s="8">
        <f t="shared" si="0"/>
        <v>1.3998765432098765</v>
      </c>
      <c r="P39" s="9">
        <f t="shared" si="2"/>
        <v>105.97196261682242</v>
      </c>
      <c r="Q39" s="5" t="str" cm="1">
        <f t="array" ref="Q39:R39">_xlfn.TEXTSPLIT(N39,"/")</f>
        <v>publishing</v>
      </c>
      <c r="R39" t="str">
        <v>fiction</v>
      </c>
      <c r="S39" s="10">
        <f t="shared" ref="S39:T39" si="39">(((J39/60)/60)/24)+DATE(1970,1,1)</f>
        <v>43744.208333333328</v>
      </c>
      <c r="T39" s="10">
        <f t="shared" si="39"/>
        <v>43777.25</v>
      </c>
    </row>
    <row r="40" spans="1:20" ht="15.75" customHeight="1" x14ac:dyDescent="0.25">
      <c r="A40" s="5">
        <v>38</v>
      </c>
      <c r="B40" s="6" t="s">
        <v>128</v>
      </c>
      <c r="C40" s="7" t="s">
        <v>129</v>
      </c>
      <c r="D40" s="5">
        <v>3100</v>
      </c>
      <c r="E40" s="5">
        <v>10085</v>
      </c>
      <c r="F40" s="5" t="s">
        <v>28</v>
      </c>
      <c r="G40" s="5">
        <v>134</v>
      </c>
      <c r="H40" s="5" t="s">
        <v>29</v>
      </c>
      <c r="I40" s="5" t="s">
        <v>30</v>
      </c>
      <c r="J40" s="5">
        <v>1287378000</v>
      </c>
      <c r="K40" s="5">
        <v>1287810000</v>
      </c>
      <c r="L40" s="5" t="b">
        <v>0</v>
      </c>
      <c r="M40" s="5" t="b">
        <v>0</v>
      </c>
      <c r="N40" s="5" t="s">
        <v>130</v>
      </c>
      <c r="O40" s="8">
        <f t="shared" si="0"/>
        <v>3.2532258064516131</v>
      </c>
      <c r="P40" s="9">
        <f t="shared" si="2"/>
        <v>75.261194029850742</v>
      </c>
      <c r="Q40" s="5" t="str" cm="1">
        <f t="array" ref="Q40:R40">_xlfn.TEXTSPLIT(N40,"/")</f>
        <v>photography</v>
      </c>
      <c r="R40" t="str">
        <v>photography books</v>
      </c>
      <c r="S40" s="10">
        <f t="shared" ref="S40:T40" si="40">(((J40/60)/60)/24)+DATE(1970,1,1)</f>
        <v>40469.208333333336</v>
      </c>
      <c r="T40" s="10">
        <f t="shared" si="40"/>
        <v>40474.208333333336</v>
      </c>
    </row>
    <row r="41" spans="1:20" ht="15.75" customHeight="1" x14ac:dyDescent="0.25">
      <c r="A41" s="5">
        <v>39</v>
      </c>
      <c r="B41" s="6" t="s">
        <v>131</v>
      </c>
      <c r="C41" s="7" t="s">
        <v>132</v>
      </c>
      <c r="D41" s="5">
        <v>9900</v>
      </c>
      <c r="E41" s="5">
        <v>5027</v>
      </c>
      <c r="F41" s="5" t="s">
        <v>22</v>
      </c>
      <c r="G41" s="5">
        <v>88</v>
      </c>
      <c r="H41" s="5" t="s">
        <v>44</v>
      </c>
      <c r="I41" s="5" t="s">
        <v>45</v>
      </c>
      <c r="J41" s="5">
        <v>1361772000</v>
      </c>
      <c r="K41" s="5">
        <v>1362978000</v>
      </c>
      <c r="L41" s="5" t="b">
        <v>0</v>
      </c>
      <c r="M41" s="5" t="b">
        <v>0</v>
      </c>
      <c r="N41" s="5" t="s">
        <v>41</v>
      </c>
      <c r="O41" s="8">
        <f t="shared" si="0"/>
        <v>0.50777777777777777</v>
      </c>
      <c r="P41" s="9">
        <f t="shared" si="2"/>
        <v>57.125</v>
      </c>
      <c r="Q41" s="5" t="str" cm="1">
        <f t="array" ref="Q41:R41">_xlfn.TEXTSPLIT(N41,"/")</f>
        <v>theater</v>
      </c>
      <c r="R41" t="str">
        <v>plays</v>
      </c>
      <c r="S41" s="10">
        <f t="shared" ref="S41:T41" si="41">(((J41/60)/60)/24)+DATE(1970,1,1)</f>
        <v>41330.25</v>
      </c>
      <c r="T41" s="10">
        <f t="shared" si="41"/>
        <v>41344.208333333336</v>
      </c>
    </row>
    <row r="42" spans="1:20" ht="15.75" customHeight="1" x14ac:dyDescent="0.25">
      <c r="A42" s="5">
        <v>40</v>
      </c>
      <c r="B42" s="6" t="s">
        <v>133</v>
      </c>
      <c r="C42" s="7" t="s">
        <v>134</v>
      </c>
      <c r="D42" s="5">
        <v>8800</v>
      </c>
      <c r="E42" s="5">
        <v>14878</v>
      </c>
      <c r="F42" s="5" t="s">
        <v>28</v>
      </c>
      <c r="G42" s="5">
        <v>198</v>
      </c>
      <c r="H42" s="5" t="s">
        <v>29</v>
      </c>
      <c r="I42" s="5" t="s">
        <v>30</v>
      </c>
      <c r="J42" s="5">
        <v>1275714000</v>
      </c>
      <c r="K42" s="5">
        <v>1277355600</v>
      </c>
      <c r="L42" s="5" t="b">
        <v>0</v>
      </c>
      <c r="M42" s="5" t="b">
        <v>1</v>
      </c>
      <c r="N42" s="5" t="s">
        <v>73</v>
      </c>
      <c r="O42" s="8">
        <f t="shared" si="0"/>
        <v>1.6906818181818182</v>
      </c>
      <c r="P42" s="9">
        <f t="shared" si="2"/>
        <v>75.141414141414145</v>
      </c>
      <c r="Q42" s="5" t="str" cm="1">
        <f t="array" ref="Q42:R42">_xlfn.TEXTSPLIT(N42,"/")</f>
        <v>technology</v>
      </c>
      <c r="R42" t="str">
        <v>wearables</v>
      </c>
      <c r="S42" s="10">
        <f t="shared" ref="S42:T42" si="42">(((J42/60)/60)/24)+DATE(1970,1,1)</f>
        <v>40334.208333333336</v>
      </c>
      <c r="T42" s="10">
        <f t="shared" si="42"/>
        <v>40353.208333333336</v>
      </c>
    </row>
    <row r="43" spans="1:20" ht="15.75" customHeight="1" x14ac:dyDescent="0.25">
      <c r="A43" s="5">
        <v>41</v>
      </c>
      <c r="B43" s="6" t="s">
        <v>135</v>
      </c>
      <c r="C43" s="7" t="s">
        <v>136</v>
      </c>
      <c r="D43" s="5">
        <v>5600</v>
      </c>
      <c r="E43" s="5">
        <v>11924</v>
      </c>
      <c r="F43" s="5" t="s">
        <v>28</v>
      </c>
      <c r="G43" s="5">
        <v>111</v>
      </c>
      <c r="H43" s="5" t="s">
        <v>115</v>
      </c>
      <c r="I43" s="5" t="s">
        <v>116</v>
      </c>
      <c r="J43" s="5">
        <v>1346734800</v>
      </c>
      <c r="K43" s="5">
        <v>1348981200</v>
      </c>
      <c r="L43" s="5" t="b">
        <v>0</v>
      </c>
      <c r="M43" s="5" t="b">
        <v>1</v>
      </c>
      <c r="N43" s="5" t="s">
        <v>31</v>
      </c>
      <c r="O43" s="8">
        <f t="shared" si="0"/>
        <v>2.1292857142857144</v>
      </c>
      <c r="P43" s="9">
        <f t="shared" si="2"/>
        <v>107.42342342342343</v>
      </c>
      <c r="Q43" s="5" t="str" cm="1">
        <f t="array" ref="Q43:R43">_xlfn.TEXTSPLIT(N43,"/")</f>
        <v>music</v>
      </c>
      <c r="R43" t="str">
        <v>rock</v>
      </c>
      <c r="S43" s="10">
        <f t="shared" ref="S43:T43" si="43">(((J43/60)/60)/24)+DATE(1970,1,1)</f>
        <v>41156.208333333336</v>
      </c>
      <c r="T43" s="10">
        <f t="shared" si="43"/>
        <v>41182.208333333336</v>
      </c>
    </row>
    <row r="44" spans="1:20" ht="15.75" customHeight="1" x14ac:dyDescent="0.25">
      <c r="A44" s="5">
        <v>42</v>
      </c>
      <c r="B44" s="6" t="s">
        <v>137</v>
      </c>
      <c r="C44" s="7" t="s">
        <v>138</v>
      </c>
      <c r="D44" s="5">
        <v>1800</v>
      </c>
      <c r="E44" s="5">
        <v>7991</v>
      </c>
      <c r="F44" s="5" t="s">
        <v>28</v>
      </c>
      <c r="G44" s="5">
        <v>222</v>
      </c>
      <c r="H44" s="5" t="s">
        <v>29</v>
      </c>
      <c r="I44" s="5" t="s">
        <v>30</v>
      </c>
      <c r="J44" s="5">
        <v>1309755600</v>
      </c>
      <c r="K44" s="5">
        <v>1310533200</v>
      </c>
      <c r="L44" s="5" t="b">
        <v>0</v>
      </c>
      <c r="M44" s="5" t="b">
        <v>0</v>
      </c>
      <c r="N44" s="5" t="s">
        <v>25</v>
      </c>
      <c r="O44" s="8">
        <f t="shared" si="0"/>
        <v>4.4394444444444447</v>
      </c>
      <c r="P44" s="9">
        <f t="shared" si="2"/>
        <v>35.995495495495497</v>
      </c>
      <c r="Q44" s="5" t="str" cm="1">
        <f t="array" ref="Q44:R44">_xlfn.TEXTSPLIT(N44,"/")</f>
        <v>food</v>
      </c>
      <c r="R44" t="str">
        <v>food trucks</v>
      </c>
      <c r="S44" s="10">
        <f t="shared" ref="S44:T44" si="44">(((J44/60)/60)/24)+DATE(1970,1,1)</f>
        <v>40728.208333333336</v>
      </c>
      <c r="T44" s="10">
        <f t="shared" si="44"/>
        <v>40737.208333333336</v>
      </c>
    </row>
    <row r="45" spans="1:20" ht="15.75" customHeight="1" x14ac:dyDescent="0.25">
      <c r="A45" s="5">
        <v>43</v>
      </c>
      <c r="B45" s="6" t="s">
        <v>139</v>
      </c>
      <c r="C45" s="7" t="s">
        <v>140</v>
      </c>
      <c r="D45" s="5">
        <v>90200</v>
      </c>
      <c r="E45" s="5">
        <v>167717</v>
      </c>
      <c r="F45" s="5" t="s">
        <v>28</v>
      </c>
      <c r="G45" s="5">
        <v>6212</v>
      </c>
      <c r="H45" s="5" t="s">
        <v>29</v>
      </c>
      <c r="I45" s="5" t="s">
        <v>30</v>
      </c>
      <c r="J45" s="5">
        <v>1406178000</v>
      </c>
      <c r="K45" s="5">
        <v>1407560400</v>
      </c>
      <c r="L45" s="5" t="b">
        <v>0</v>
      </c>
      <c r="M45" s="5" t="b">
        <v>0</v>
      </c>
      <c r="N45" s="5" t="s">
        <v>141</v>
      </c>
      <c r="O45" s="8">
        <f t="shared" si="0"/>
        <v>1.859390243902439</v>
      </c>
      <c r="P45" s="9">
        <f t="shared" si="2"/>
        <v>26.998873148744366</v>
      </c>
      <c r="Q45" s="5" t="str" cm="1">
        <f t="array" ref="Q45:R45">_xlfn.TEXTSPLIT(N45,"/")</f>
        <v>publishing</v>
      </c>
      <c r="R45" t="str">
        <v>radio &amp; podcasts</v>
      </c>
      <c r="S45" s="10">
        <f t="shared" ref="S45:T45" si="45">(((J45/60)/60)/24)+DATE(1970,1,1)</f>
        <v>41844.208333333336</v>
      </c>
      <c r="T45" s="10">
        <f t="shared" si="45"/>
        <v>41860.208333333336</v>
      </c>
    </row>
    <row r="46" spans="1:20" ht="15.75" customHeight="1" x14ac:dyDescent="0.25">
      <c r="A46" s="5">
        <v>44</v>
      </c>
      <c r="B46" s="6" t="s">
        <v>142</v>
      </c>
      <c r="C46" s="7" t="s">
        <v>143</v>
      </c>
      <c r="D46" s="5">
        <v>1600</v>
      </c>
      <c r="E46" s="5">
        <v>10541</v>
      </c>
      <c r="F46" s="5" t="s">
        <v>28</v>
      </c>
      <c r="G46" s="5">
        <v>98</v>
      </c>
      <c r="H46" s="5" t="s">
        <v>44</v>
      </c>
      <c r="I46" s="5" t="s">
        <v>45</v>
      </c>
      <c r="J46" s="5">
        <v>1552798800</v>
      </c>
      <c r="K46" s="5">
        <v>1552885200</v>
      </c>
      <c r="L46" s="5" t="b">
        <v>0</v>
      </c>
      <c r="M46" s="5" t="b">
        <v>0</v>
      </c>
      <c r="N46" s="5" t="s">
        <v>127</v>
      </c>
      <c r="O46" s="8">
        <f t="shared" si="0"/>
        <v>6.5881249999999998</v>
      </c>
      <c r="P46" s="9">
        <f t="shared" si="2"/>
        <v>107.56122448979592</v>
      </c>
      <c r="Q46" s="5" t="str" cm="1">
        <f t="array" ref="Q46:R46">_xlfn.TEXTSPLIT(N46,"/")</f>
        <v>publishing</v>
      </c>
      <c r="R46" t="str">
        <v>fiction</v>
      </c>
      <c r="S46" s="10">
        <f t="shared" ref="S46:T46" si="46">(((J46/60)/60)/24)+DATE(1970,1,1)</f>
        <v>43541.208333333328</v>
      </c>
      <c r="T46" s="10">
        <f t="shared" si="46"/>
        <v>43542.208333333328</v>
      </c>
    </row>
    <row r="47" spans="1:20" ht="15.75" customHeight="1" x14ac:dyDescent="0.25">
      <c r="A47" s="5">
        <v>45</v>
      </c>
      <c r="B47" s="6" t="s">
        <v>144</v>
      </c>
      <c r="C47" s="7" t="s">
        <v>145</v>
      </c>
      <c r="D47" s="5">
        <v>9500</v>
      </c>
      <c r="E47" s="5">
        <v>4530</v>
      </c>
      <c r="F47" s="5" t="s">
        <v>22</v>
      </c>
      <c r="G47" s="5">
        <v>48</v>
      </c>
      <c r="H47" s="5" t="s">
        <v>29</v>
      </c>
      <c r="I47" s="5" t="s">
        <v>30</v>
      </c>
      <c r="J47" s="5">
        <v>1478062800</v>
      </c>
      <c r="K47" s="5">
        <v>1479362400</v>
      </c>
      <c r="L47" s="5" t="b">
        <v>0</v>
      </c>
      <c r="M47" s="5" t="b">
        <v>1</v>
      </c>
      <c r="N47" s="5" t="s">
        <v>41</v>
      </c>
      <c r="O47" s="8">
        <f t="shared" si="0"/>
        <v>0.4768421052631579</v>
      </c>
      <c r="P47" s="9">
        <f t="shared" si="2"/>
        <v>94.375</v>
      </c>
      <c r="Q47" s="5" t="str" cm="1">
        <f t="array" ref="Q47:R47">_xlfn.TEXTSPLIT(N47,"/")</f>
        <v>theater</v>
      </c>
      <c r="R47" t="str">
        <v>plays</v>
      </c>
      <c r="S47" s="10">
        <f t="shared" ref="S47:T47" si="47">(((J47/60)/60)/24)+DATE(1970,1,1)</f>
        <v>42676.208333333328</v>
      </c>
      <c r="T47" s="10">
        <f t="shared" si="47"/>
        <v>42691.25</v>
      </c>
    </row>
    <row r="48" spans="1:20" ht="15.75" customHeight="1" x14ac:dyDescent="0.25">
      <c r="A48" s="5">
        <v>46</v>
      </c>
      <c r="B48" s="6" t="s">
        <v>146</v>
      </c>
      <c r="C48" s="7" t="s">
        <v>147</v>
      </c>
      <c r="D48" s="5">
        <v>3700</v>
      </c>
      <c r="E48" s="5">
        <v>4247</v>
      </c>
      <c r="F48" s="5" t="s">
        <v>28</v>
      </c>
      <c r="G48" s="5">
        <v>92</v>
      </c>
      <c r="H48" s="5" t="s">
        <v>29</v>
      </c>
      <c r="I48" s="5" t="s">
        <v>30</v>
      </c>
      <c r="J48" s="5">
        <v>1278565200</v>
      </c>
      <c r="K48" s="5">
        <v>1280552400</v>
      </c>
      <c r="L48" s="5" t="b">
        <v>0</v>
      </c>
      <c r="M48" s="5" t="b">
        <v>0</v>
      </c>
      <c r="N48" s="5" t="s">
        <v>31</v>
      </c>
      <c r="O48" s="8">
        <f t="shared" si="0"/>
        <v>1.1478378378378378</v>
      </c>
      <c r="P48" s="9">
        <f t="shared" si="2"/>
        <v>46.163043478260867</v>
      </c>
      <c r="Q48" s="5" t="str" cm="1">
        <f t="array" ref="Q48:R48">_xlfn.TEXTSPLIT(N48,"/")</f>
        <v>music</v>
      </c>
      <c r="R48" t="str">
        <v>rock</v>
      </c>
      <c r="S48" s="10">
        <f t="shared" ref="S48:T48" si="48">(((J48/60)/60)/24)+DATE(1970,1,1)</f>
        <v>40367.208333333336</v>
      </c>
      <c r="T48" s="10">
        <f t="shared" si="48"/>
        <v>40390.208333333336</v>
      </c>
    </row>
    <row r="49" spans="1:20" ht="15.75" customHeight="1" x14ac:dyDescent="0.25">
      <c r="A49" s="5">
        <v>47</v>
      </c>
      <c r="B49" s="6" t="s">
        <v>148</v>
      </c>
      <c r="C49" s="7" t="s">
        <v>149</v>
      </c>
      <c r="D49" s="5">
        <v>1500</v>
      </c>
      <c r="E49" s="5">
        <v>7129</v>
      </c>
      <c r="F49" s="5" t="s">
        <v>28</v>
      </c>
      <c r="G49" s="5">
        <v>149</v>
      </c>
      <c r="H49" s="5" t="s">
        <v>29</v>
      </c>
      <c r="I49" s="5" t="s">
        <v>30</v>
      </c>
      <c r="J49" s="5">
        <v>1396069200</v>
      </c>
      <c r="K49" s="5">
        <v>1398661200</v>
      </c>
      <c r="L49" s="5" t="b">
        <v>0</v>
      </c>
      <c r="M49" s="5" t="b">
        <v>0</v>
      </c>
      <c r="N49" s="5" t="s">
        <v>41</v>
      </c>
      <c r="O49" s="8">
        <f t="shared" si="0"/>
        <v>4.7526666666666664</v>
      </c>
      <c r="P49" s="9">
        <f t="shared" si="2"/>
        <v>47.845637583892618</v>
      </c>
      <c r="Q49" s="5" t="str" cm="1">
        <f t="array" ref="Q49:R49">_xlfn.TEXTSPLIT(N49,"/")</f>
        <v>theater</v>
      </c>
      <c r="R49" t="str">
        <v>plays</v>
      </c>
      <c r="S49" s="10">
        <f t="shared" ref="S49:T49" si="49">(((J49/60)/60)/24)+DATE(1970,1,1)</f>
        <v>41727.208333333336</v>
      </c>
      <c r="T49" s="10">
        <f t="shared" si="49"/>
        <v>41757.208333333336</v>
      </c>
    </row>
    <row r="50" spans="1:20" ht="15.75" customHeight="1" x14ac:dyDescent="0.25">
      <c r="A50" s="5">
        <v>48</v>
      </c>
      <c r="B50" s="6" t="s">
        <v>150</v>
      </c>
      <c r="C50" s="7" t="s">
        <v>151</v>
      </c>
      <c r="D50" s="5">
        <v>33300</v>
      </c>
      <c r="E50" s="5">
        <v>128862</v>
      </c>
      <c r="F50" s="5" t="s">
        <v>28</v>
      </c>
      <c r="G50" s="5">
        <v>2431</v>
      </c>
      <c r="H50" s="5" t="s">
        <v>29</v>
      </c>
      <c r="I50" s="5" t="s">
        <v>30</v>
      </c>
      <c r="J50" s="5">
        <v>1435208400</v>
      </c>
      <c r="K50" s="5">
        <v>1436245200</v>
      </c>
      <c r="L50" s="5" t="b">
        <v>0</v>
      </c>
      <c r="M50" s="5" t="b">
        <v>0</v>
      </c>
      <c r="N50" s="5" t="s">
        <v>41</v>
      </c>
      <c r="O50" s="8">
        <f t="shared" si="0"/>
        <v>3.86972972972973</v>
      </c>
      <c r="P50" s="9">
        <f t="shared" si="2"/>
        <v>53.007815713698065</v>
      </c>
      <c r="Q50" s="5" t="str" cm="1">
        <f t="array" ref="Q50:R50">_xlfn.TEXTSPLIT(N50,"/")</f>
        <v>theater</v>
      </c>
      <c r="R50" t="str">
        <v>plays</v>
      </c>
      <c r="S50" s="10">
        <f t="shared" ref="S50:T50" si="50">(((J50/60)/60)/24)+DATE(1970,1,1)</f>
        <v>42180.208333333328</v>
      </c>
      <c r="T50" s="10">
        <f t="shared" si="50"/>
        <v>42192.208333333328</v>
      </c>
    </row>
    <row r="51" spans="1:20" ht="15.75" customHeight="1" x14ac:dyDescent="0.25">
      <c r="A51" s="5">
        <v>49</v>
      </c>
      <c r="B51" s="6" t="s">
        <v>152</v>
      </c>
      <c r="C51" s="7" t="s">
        <v>153</v>
      </c>
      <c r="D51" s="5">
        <v>7200</v>
      </c>
      <c r="E51" s="5">
        <v>13653</v>
      </c>
      <c r="F51" s="5" t="s">
        <v>28</v>
      </c>
      <c r="G51" s="5">
        <v>303</v>
      </c>
      <c r="H51" s="5" t="s">
        <v>29</v>
      </c>
      <c r="I51" s="5" t="s">
        <v>30</v>
      </c>
      <c r="J51" s="5">
        <v>1571547600</v>
      </c>
      <c r="K51" s="5">
        <v>1575439200</v>
      </c>
      <c r="L51" s="5" t="b">
        <v>0</v>
      </c>
      <c r="M51" s="5" t="b">
        <v>0</v>
      </c>
      <c r="N51" s="5" t="s">
        <v>31</v>
      </c>
      <c r="O51" s="8">
        <f t="shared" si="0"/>
        <v>1.89625</v>
      </c>
      <c r="P51" s="9">
        <f t="shared" si="2"/>
        <v>45.059405940594061</v>
      </c>
      <c r="Q51" s="5" t="str" cm="1">
        <f t="array" ref="Q51:R51">_xlfn.TEXTSPLIT(N51,"/")</f>
        <v>music</v>
      </c>
      <c r="R51" t="str">
        <v>rock</v>
      </c>
      <c r="S51" s="10">
        <f t="shared" ref="S51:T51" si="51">(((J51/60)/60)/24)+DATE(1970,1,1)</f>
        <v>43758.208333333328</v>
      </c>
      <c r="T51" s="10">
        <f t="shared" si="51"/>
        <v>43803.25</v>
      </c>
    </row>
    <row r="52" spans="1:20" ht="15.75" customHeight="1" x14ac:dyDescent="0.25">
      <c r="A52" s="5">
        <v>50</v>
      </c>
      <c r="B52" s="6" t="s">
        <v>154</v>
      </c>
      <c r="C52" s="7" t="s">
        <v>155</v>
      </c>
      <c r="D52" s="5">
        <v>100</v>
      </c>
      <c r="E52" s="5">
        <v>2</v>
      </c>
      <c r="F52" s="5" t="s">
        <v>22</v>
      </c>
      <c r="G52" s="5">
        <v>1</v>
      </c>
      <c r="H52" s="5" t="s">
        <v>115</v>
      </c>
      <c r="I52" s="5" t="s">
        <v>116</v>
      </c>
      <c r="J52" s="5">
        <v>1375333200</v>
      </c>
      <c r="K52" s="5">
        <v>1377752400</v>
      </c>
      <c r="L52" s="5" t="b">
        <v>0</v>
      </c>
      <c r="M52" s="5" t="b">
        <v>0</v>
      </c>
      <c r="N52" s="5" t="s">
        <v>156</v>
      </c>
      <c r="O52" s="8">
        <f t="shared" si="0"/>
        <v>0.02</v>
      </c>
      <c r="P52" s="9">
        <f t="shared" si="2"/>
        <v>2</v>
      </c>
      <c r="Q52" s="5" t="str" cm="1">
        <f t="array" ref="Q52:R52">_xlfn.TEXTSPLIT(N52,"/")</f>
        <v>music</v>
      </c>
      <c r="R52" t="str">
        <v>metal</v>
      </c>
      <c r="S52" s="10">
        <f t="shared" ref="S52:T52" si="52">(((J52/60)/60)/24)+DATE(1970,1,1)</f>
        <v>41487.208333333336</v>
      </c>
      <c r="T52" s="10">
        <f t="shared" si="52"/>
        <v>41515.208333333336</v>
      </c>
    </row>
    <row r="53" spans="1:20" ht="15.75" customHeight="1" x14ac:dyDescent="0.25">
      <c r="A53" s="5">
        <v>51</v>
      </c>
      <c r="B53" s="6" t="s">
        <v>157</v>
      </c>
      <c r="C53" s="7" t="s">
        <v>158</v>
      </c>
      <c r="D53" s="5">
        <v>158100</v>
      </c>
      <c r="E53" s="5">
        <v>145243</v>
      </c>
      <c r="F53" s="5" t="s">
        <v>22</v>
      </c>
      <c r="G53" s="5">
        <v>1467</v>
      </c>
      <c r="H53" s="5" t="s">
        <v>48</v>
      </c>
      <c r="I53" s="5" t="s">
        <v>49</v>
      </c>
      <c r="J53" s="5">
        <v>1332824400</v>
      </c>
      <c r="K53" s="5">
        <v>1334206800</v>
      </c>
      <c r="L53" s="5" t="b">
        <v>0</v>
      </c>
      <c r="M53" s="5" t="b">
        <v>1</v>
      </c>
      <c r="N53" s="5" t="s">
        <v>73</v>
      </c>
      <c r="O53" s="8">
        <f t="shared" si="0"/>
        <v>0.91867805186590767</v>
      </c>
      <c r="P53" s="9">
        <f t="shared" si="2"/>
        <v>99.006816632583508</v>
      </c>
      <c r="Q53" s="5" t="str" cm="1">
        <f t="array" ref="Q53:R53">_xlfn.TEXTSPLIT(N53,"/")</f>
        <v>technology</v>
      </c>
      <c r="R53" t="str">
        <v>wearables</v>
      </c>
      <c r="S53" s="10">
        <f t="shared" ref="S53:T53" si="53">(((J53/60)/60)/24)+DATE(1970,1,1)</f>
        <v>40995.208333333336</v>
      </c>
      <c r="T53" s="10">
        <f t="shared" si="53"/>
        <v>41011.208333333336</v>
      </c>
    </row>
    <row r="54" spans="1:20" ht="15.75" customHeight="1" x14ac:dyDescent="0.25">
      <c r="A54" s="5">
        <v>52</v>
      </c>
      <c r="B54" s="6" t="s">
        <v>159</v>
      </c>
      <c r="C54" s="7" t="s">
        <v>160</v>
      </c>
      <c r="D54" s="5">
        <v>7200</v>
      </c>
      <c r="E54" s="5">
        <v>2459</v>
      </c>
      <c r="F54" s="5" t="s">
        <v>22</v>
      </c>
      <c r="G54" s="5">
        <v>75</v>
      </c>
      <c r="H54" s="5" t="s">
        <v>29</v>
      </c>
      <c r="I54" s="5" t="s">
        <v>30</v>
      </c>
      <c r="J54" s="5">
        <v>1284526800</v>
      </c>
      <c r="K54" s="5">
        <v>1284872400</v>
      </c>
      <c r="L54" s="5" t="b">
        <v>0</v>
      </c>
      <c r="M54" s="5" t="b">
        <v>0</v>
      </c>
      <c r="N54" s="5" t="s">
        <v>41</v>
      </c>
      <c r="O54" s="8">
        <f t="shared" si="0"/>
        <v>0.34152777777777776</v>
      </c>
      <c r="P54" s="9">
        <f t="shared" si="2"/>
        <v>32.786666666666669</v>
      </c>
      <c r="Q54" s="5" t="str" cm="1">
        <f t="array" ref="Q54:R54">_xlfn.TEXTSPLIT(N54,"/")</f>
        <v>theater</v>
      </c>
      <c r="R54" t="str">
        <v>plays</v>
      </c>
      <c r="S54" s="10">
        <f t="shared" ref="S54:T54" si="54">(((J54/60)/60)/24)+DATE(1970,1,1)</f>
        <v>40436.208333333336</v>
      </c>
      <c r="T54" s="10">
        <f t="shared" si="54"/>
        <v>40440.208333333336</v>
      </c>
    </row>
    <row r="55" spans="1:20" ht="15.75" customHeight="1" x14ac:dyDescent="0.25">
      <c r="A55" s="5">
        <v>53</v>
      </c>
      <c r="B55" s="6" t="s">
        <v>161</v>
      </c>
      <c r="C55" s="7" t="s">
        <v>162</v>
      </c>
      <c r="D55" s="5">
        <v>8800</v>
      </c>
      <c r="E55" s="5">
        <v>12356</v>
      </c>
      <c r="F55" s="5" t="s">
        <v>28</v>
      </c>
      <c r="G55" s="5">
        <v>209</v>
      </c>
      <c r="H55" s="5" t="s">
        <v>29</v>
      </c>
      <c r="I55" s="5" t="s">
        <v>30</v>
      </c>
      <c r="J55" s="5">
        <v>1400562000</v>
      </c>
      <c r="K55" s="5">
        <v>1403931600</v>
      </c>
      <c r="L55" s="5" t="b">
        <v>0</v>
      </c>
      <c r="M55" s="5" t="b">
        <v>0</v>
      </c>
      <c r="N55" s="5" t="s">
        <v>61</v>
      </c>
      <c r="O55" s="8">
        <f t="shared" si="0"/>
        <v>1.4040909090909091</v>
      </c>
      <c r="P55" s="9">
        <f t="shared" si="2"/>
        <v>59.119617224880386</v>
      </c>
      <c r="Q55" s="5" t="str" cm="1">
        <f t="array" ref="Q55:R55">_xlfn.TEXTSPLIT(N55,"/")</f>
        <v>film &amp; video</v>
      </c>
      <c r="R55" t="str">
        <v>drama</v>
      </c>
      <c r="S55" s="10">
        <f t="shared" ref="S55:T55" si="55">(((J55/60)/60)/24)+DATE(1970,1,1)</f>
        <v>41779.208333333336</v>
      </c>
      <c r="T55" s="10">
        <f t="shared" si="55"/>
        <v>41818.208333333336</v>
      </c>
    </row>
    <row r="56" spans="1:20" ht="15.75" customHeight="1" x14ac:dyDescent="0.25">
      <c r="A56" s="5">
        <v>54</v>
      </c>
      <c r="B56" s="6" t="s">
        <v>163</v>
      </c>
      <c r="C56" s="7" t="s">
        <v>164</v>
      </c>
      <c r="D56" s="5">
        <v>6000</v>
      </c>
      <c r="E56" s="5">
        <v>5392</v>
      </c>
      <c r="F56" s="5" t="s">
        <v>22</v>
      </c>
      <c r="G56" s="5">
        <v>120</v>
      </c>
      <c r="H56" s="5" t="s">
        <v>29</v>
      </c>
      <c r="I56" s="5" t="s">
        <v>30</v>
      </c>
      <c r="J56" s="5">
        <v>1520748000</v>
      </c>
      <c r="K56" s="5">
        <v>1521262800</v>
      </c>
      <c r="L56" s="5" t="b">
        <v>0</v>
      </c>
      <c r="M56" s="5" t="b">
        <v>0</v>
      </c>
      <c r="N56" s="5" t="s">
        <v>73</v>
      </c>
      <c r="O56" s="8">
        <f t="shared" si="0"/>
        <v>0.89866666666666661</v>
      </c>
      <c r="P56" s="9">
        <f t="shared" si="2"/>
        <v>44.93333333333333</v>
      </c>
      <c r="Q56" s="5" t="str" cm="1">
        <f t="array" ref="Q56:R56">_xlfn.TEXTSPLIT(N56,"/")</f>
        <v>technology</v>
      </c>
      <c r="R56" t="str">
        <v>wearables</v>
      </c>
      <c r="S56" s="10">
        <f t="shared" ref="S56:T56" si="56">(((J56/60)/60)/24)+DATE(1970,1,1)</f>
        <v>43170.25</v>
      </c>
      <c r="T56" s="10">
        <f t="shared" si="56"/>
        <v>43176.208333333328</v>
      </c>
    </row>
    <row r="57" spans="1:20" ht="15.75" customHeight="1" x14ac:dyDescent="0.25">
      <c r="A57" s="5">
        <v>55</v>
      </c>
      <c r="B57" s="6" t="s">
        <v>165</v>
      </c>
      <c r="C57" s="7" t="s">
        <v>166</v>
      </c>
      <c r="D57" s="5">
        <v>6600</v>
      </c>
      <c r="E57" s="5">
        <v>11746</v>
      </c>
      <c r="F57" s="5" t="s">
        <v>28</v>
      </c>
      <c r="G57" s="5">
        <v>131</v>
      </c>
      <c r="H57" s="5" t="s">
        <v>29</v>
      </c>
      <c r="I57" s="5" t="s">
        <v>30</v>
      </c>
      <c r="J57" s="5">
        <v>1532926800</v>
      </c>
      <c r="K57" s="5">
        <v>1533358800</v>
      </c>
      <c r="L57" s="5" t="b">
        <v>0</v>
      </c>
      <c r="M57" s="5" t="b">
        <v>0</v>
      </c>
      <c r="N57" s="5" t="s">
        <v>167</v>
      </c>
      <c r="O57" s="8">
        <f t="shared" si="0"/>
        <v>1.7796969696969698</v>
      </c>
      <c r="P57" s="9">
        <f t="shared" si="2"/>
        <v>89.664122137404576</v>
      </c>
      <c r="Q57" s="5" t="str" cm="1">
        <f t="array" ref="Q57:R57">_xlfn.TEXTSPLIT(N57,"/")</f>
        <v>music</v>
      </c>
      <c r="R57" t="str">
        <v>jazz</v>
      </c>
      <c r="S57" s="10">
        <f t="shared" ref="S57:T57" si="57">(((J57/60)/60)/24)+DATE(1970,1,1)</f>
        <v>43311.208333333328</v>
      </c>
      <c r="T57" s="10">
        <f t="shared" si="57"/>
        <v>43316.208333333328</v>
      </c>
    </row>
    <row r="58" spans="1:20" ht="15.75" customHeight="1" x14ac:dyDescent="0.25">
      <c r="A58" s="5">
        <v>56</v>
      </c>
      <c r="B58" s="6" t="s">
        <v>168</v>
      </c>
      <c r="C58" s="7" t="s">
        <v>169</v>
      </c>
      <c r="D58" s="5">
        <v>8000</v>
      </c>
      <c r="E58" s="5">
        <v>11493</v>
      </c>
      <c r="F58" s="5" t="s">
        <v>28</v>
      </c>
      <c r="G58" s="5">
        <v>164</v>
      </c>
      <c r="H58" s="5" t="s">
        <v>29</v>
      </c>
      <c r="I58" s="5" t="s">
        <v>30</v>
      </c>
      <c r="J58" s="5">
        <v>1420869600</v>
      </c>
      <c r="K58" s="5">
        <v>1421474400</v>
      </c>
      <c r="L58" s="5" t="b">
        <v>0</v>
      </c>
      <c r="M58" s="5" t="b">
        <v>0</v>
      </c>
      <c r="N58" s="5" t="s">
        <v>73</v>
      </c>
      <c r="O58" s="8">
        <f t="shared" si="0"/>
        <v>1.436625</v>
      </c>
      <c r="P58" s="9">
        <f t="shared" si="2"/>
        <v>70.079268292682926</v>
      </c>
      <c r="Q58" s="5" t="str" cm="1">
        <f t="array" ref="Q58:R58">_xlfn.TEXTSPLIT(N58,"/")</f>
        <v>technology</v>
      </c>
      <c r="R58" t="str">
        <v>wearables</v>
      </c>
      <c r="S58" s="10">
        <f t="shared" ref="S58:T58" si="58">(((J58/60)/60)/24)+DATE(1970,1,1)</f>
        <v>42014.25</v>
      </c>
      <c r="T58" s="10">
        <f t="shared" si="58"/>
        <v>42021.25</v>
      </c>
    </row>
    <row r="59" spans="1:20" ht="15.75" customHeight="1" x14ac:dyDescent="0.25">
      <c r="A59" s="5">
        <v>57</v>
      </c>
      <c r="B59" s="6" t="s">
        <v>170</v>
      </c>
      <c r="C59" s="7" t="s">
        <v>171</v>
      </c>
      <c r="D59" s="5">
        <v>2900</v>
      </c>
      <c r="E59" s="5">
        <v>6243</v>
      </c>
      <c r="F59" s="5" t="s">
        <v>28</v>
      </c>
      <c r="G59" s="5">
        <v>201</v>
      </c>
      <c r="H59" s="5" t="s">
        <v>29</v>
      </c>
      <c r="I59" s="5" t="s">
        <v>30</v>
      </c>
      <c r="J59" s="5">
        <v>1504242000</v>
      </c>
      <c r="K59" s="5">
        <v>1505278800</v>
      </c>
      <c r="L59" s="5" t="b">
        <v>0</v>
      </c>
      <c r="M59" s="5" t="b">
        <v>0</v>
      </c>
      <c r="N59" s="5" t="s">
        <v>97</v>
      </c>
      <c r="O59" s="8">
        <f t="shared" si="0"/>
        <v>2.1527586206896552</v>
      </c>
      <c r="P59" s="9">
        <f t="shared" si="2"/>
        <v>31.059701492537314</v>
      </c>
      <c r="Q59" s="5" t="str" cm="1">
        <f t="array" ref="Q59:R59">_xlfn.TEXTSPLIT(N59,"/")</f>
        <v>games</v>
      </c>
      <c r="R59" t="str">
        <v>video games</v>
      </c>
      <c r="S59" s="10">
        <f t="shared" ref="S59:T59" si="59">(((J59/60)/60)/24)+DATE(1970,1,1)</f>
        <v>42979.208333333328</v>
      </c>
      <c r="T59" s="10">
        <f t="shared" si="59"/>
        <v>42991.208333333328</v>
      </c>
    </row>
    <row r="60" spans="1:20" ht="15.75" customHeight="1" x14ac:dyDescent="0.25">
      <c r="A60" s="5">
        <v>58</v>
      </c>
      <c r="B60" s="6" t="s">
        <v>172</v>
      </c>
      <c r="C60" s="7" t="s">
        <v>173</v>
      </c>
      <c r="D60" s="5">
        <v>2700</v>
      </c>
      <c r="E60" s="5">
        <v>6132</v>
      </c>
      <c r="F60" s="5" t="s">
        <v>28</v>
      </c>
      <c r="G60" s="5">
        <v>211</v>
      </c>
      <c r="H60" s="5" t="s">
        <v>29</v>
      </c>
      <c r="I60" s="5" t="s">
        <v>30</v>
      </c>
      <c r="J60" s="5">
        <v>1442811600</v>
      </c>
      <c r="K60" s="5">
        <v>1443934800</v>
      </c>
      <c r="L60" s="5" t="b">
        <v>0</v>
      </c>
      <c r="M60" s="5" t="b">
        <v>0</v>
      </c>
      <c r="N60" s="5" t="s">
        <v>41</v>
      </c>
      <c r="O60" s="8">
        <f t="shared" si="0"/>
        <v>2.2711111111111113</v>
      </c>
      <c r="P60" s="9">
        <f t="shared" si="2"/>
        <v>29.061611374407583</v>
      </c>
      <c r="Q60" s="5" t="str" cm="1">
        <f t="array" ref="Q60:R60">_xlfn.TEXTSPLIT(N60,"/")</f>
        <v>theater</v>
      </c>
      <c r="R60" t="str">
        <v>plays</v>
      </c>
      <c r="S60" s="10">
        <f t="shared" ref="S60:T60" si="60">(((J60/60)/60)/24)+DATE(1970,1,1)</f>
        <v>42268.208333333328</v>
      </c>
      <c r="T60" s="10">
        <f t="shared" si="60"/>
        <v>42281.208333333328</v>
      </c>
    </row>
    <row r="61" spans="1:20" ht="15.75" customHeight="1" x14ac:dyDescent="0.25">
      <c r="A61" s="5">
        <v>59</v>
      </c>
      <c r="B61" s="6" t="s">
        <v>174</v>
      </c>
      <c r="C61" s="7" t="s">
        <v>175</v>
      </c>
      <c r="D61" s="5">
        <v>1400</v>
      </c>
      <c r="E61" s="5">
        <v>3851</v>
      </c>
      <c r="F61" s="5" t="s">
        <v>28</v>
      </c>
      <c r="G61" s="5">
        <v>128</v>
      </c>
      <c r="H61" s="5" t="s">
        <v>29</v>
      </c>
      <c r="I61" s="5" t="s">
        <v>30</v>
      </c>
      <c r="J61" s="5">
        <v>1497243600</v>
      </c>
      <c r="K61" s="5">
        <v>1498539600</v>
      </c>
      <c r="L61" s="5" t="b">
        <v>0</v>
      </c>
      <c r="M61" s="5" t="b">
        <v>1</v>
      </c>
      <c r="N61" s="5" t="s">
        <v>41</v>
      </c>
      <c r="O61" s="8">
        <f t="shared" si="0"/>
        <v>2.7507142857142859</v>
      </c>
      <c r="P61" s="9">
        <f t="shared" si="2"/>
        <v>30.0859375</v>
      </c>
      <c r="Q61" s="5" t="str" cm="1">
        <f t="array" ref="Q61:R61">_xlfn.TEXTSPLIT(N61,"/")</f>
        <v>theater</v>
      </c>
      <c r="R61" t="str">
        <v>plays</v>
      </c>
      <c r="S61" s="10">
        <f t="shared" ref="S61:T61" si="61">(((J61/60)/60)/24)+DATE(1970,1,1)</f>
        <v>42898.208333333328</v>
      </c>
      <c r="T61" s="10">
        <f t="shared" si="61"/>
        <v>42913.208333333328</v>
      </c>
    </row>
    <row r="62" spans="1:20" ht="15.75" customHeight="1" x14ac:dyDescent="0.25">
      <c r="A62" s="5">
        <v>60</v>
      </c>
      <c r="B62" s="6" t="s">
        <v>176</v>
      </c>
      <c r="C62" s="7" t="s">
        <v>177</v>
      </c>
      <c r="D62" s="5">
        <v>94200</v>
      </c>
      <c r="E62" s="5">
        <v>135997</v>
      </c>
      <c r="F62" s="5" t="s">
        <v>28</v>
      </c>
      <c r="G62" s="5">
        <v>1600</v>
      </c>
      <c r="H62" s="5" t="s">
        <v>23</v>
      </c>
      <c r="I62" s="5" t="s">
        <v>24</v>
      </c>
      <c r="J62" s="5">
        <v>1342501200</v>
      </c>
      <c r="K62" s="5">
        <v>1342760400</v>
      </c>
      <c r="L62" s="5" t="b">
        <v>0</v>
      </c>
      <c r="M62" s="5" t="b">
        <v>0</v>
      </c>
      <c r="N62" s="5" t="s">
        <v>41</v>
      </c>
      <c r="O62" s="8">
        <f t="shared" si="0"/>
        <v>1.4437048832271762</v>
      </c>
      <c r="P62" s="9">
        <f t="shared" si="2"/>
        <v>84.998125000000002</v>
      </c>
      <c r="Q62" s="5" t="str" cm="1">
        <f t="array" ref="Q62:R62">_xlfn.TEXTSPLIT(N62,"/")</f>
        <v>theater</v>
      </c>
      <c r="R62" t="str">
        <v>plays</v>
      </c>
      <c r="S62" s="10">
        <f t="shared" ref="S62:T62" si="62">(((J62/60)/60)/24)+DATE(1970,1,1)</f>
        <v>41107.208333333336</v>
      </c>
      <c r="T62" s="10">
        <f t="shared" si="62"/>
        <v>41110.208333333336</v>
      </c>
    </row>
    <row r="63" spans="1:20" ht="15.75" customHeight="1" x14ac:dyDescent="0.25">
      <c r="A63" s="5">
        <v>61</v>
      </c>
      <c r="B63" s="6" t="s">
        <v>178</v>
      </c>
      <c r="C63" s="7" t="s">
        <v>179</v>
      </c>
      <c r="D63" s="5">
        <v>199200</v>
      </c>
      <c r="E63" s="5">
        <v>184750</v>
      </c>
      <c r="F63" s="5" t="s">
        <v>22</v>
      </c>
      <c r="G63" s="5">
        <v>2253</v>
      </c>
      <c r="H63" s="5" t="s">
        <v>23</v>
      </c>
      <c r="I63" s="5" t="s">
        <v>24</v>
      </c>
      <c r="J63" s="5">
        <v>1298268000</v>
      </c>
      <c r="K63" s="5">
        <v>1301720400</v>
      </c>
      <c r="L63" s="5" t="b">
        <v>0</v>
      </c>
      <c r="M63" s="5" t="b">
        <v>0</v>
      </c>
      <c r="N63" s="5" t="s">
        <v>41</v>
      </c>
      <c r="O63" s="8">
        <f t="shared" si="0"/>
        <v>0.92745983935742971</v>
      </c>
      <c r="P63" s="9">
        <f t="shared" si="2"/>
        <v>82.001775410563695</v>
      </c>
      <c r="Q63" s="5" t="str" cm="1">
        <f t="array" ref="Q63:R63">_xlfn.TEXTSPLIT(N63,"/")</f>
        <v>theater</v>
      </c>
      <c r="R63" t="str">
        <v>plays</v>
      </c>
      <c r="S63" s="10">
        <f t="shared" ref="S63:T63" si="63">(((J63/60)/60)/24)+DATE(1970,1,1)</f>
        <v>40595.25</v>
      </c>
      <c r="T63" s="10">
        <f t="shared" si="63"/>
        <v>40635.208333333336</v>
      </c>
    </row>
    <row r="64" spans="1:20" ht="15.75" customHeight="1" x14ac:dyDescent="0.25">
      <c r="A64" s="5">
        <v>62</v>
      </c>
      <c r="B64" s="6" t="s">
        <v>180</v>
      </c>
      <c r="C64" s="7" t="s">
        <v>181</v>
      </c>
      <c r="D64" s="5">
        <v>2000</v>
      </c>
      <c r="E64" s="5">
        <v>14452</v>
      </c>
      <c r="F64" s="5" t="s">
        <v>28</v>
      </c>
      <c r="G64" s="5">
        <v>249</v>
      </c>
      <c r="H64" s="5" t="s">
        <v>29</v>
      </c>
      <c r="I64" s="5" t="s">
        <v>30</v>
      </c>
      <c r="J64" s="5">
        <v>1433480400</v>
      </c>
      <c r="K64" s="5">
        <v>1433566800</v>
      </c>
      <c r="L64" s="5" t="b">
        <v>0</v>
      </c>
      <c r="M64" s="5" t="b">
        <v>0</v>
      </c>
      <c r="N64" s="5" t="s">
        <v>36</v>
      </c>
      <c r="O64" s="8">
        <f t="shared" si="0"/>
        <v>7.226</v>
      </c>
      <c r="P64" s="9">
        <f t="shared" si="2"/>
        <v>58.040160642570278</v>
      </c>
      <c r="Q64" s="5" t="str" cm="1">
        <f t="array" ref="Q64:R64">_xlfn.TEXTSPLIT(N64,"/")</f>
        <v>technology</v>
      </c>
      <c r="R64" t="str">
        <v>web</v>
      </c>
      <c r="S64" s="10">
        <f t="shared" ref="S64:T64" si="64">(((J64/60)/60)/24)+DATE(1970,1,1)</f>
        <v>42160.208333333328</v>
      </c>
      <c r="T64" s="10">
        <f t="shared" si="64"/>
        <v>42161.208333333328</v>
      </c>
    </row>
    <row r="65" spans="1:20" ht="15.75" customHeight="1" x14ac:dyDescent="0.25">
      <c r="A65" s="5">
        <v>63</v>
      </c>
      <c r="B65" s="6" t="s">
        <v>182</v>
      </c>
      <c r="C65" s="7" t="s">
        <v>183</v>
      </c>
      <c r="D65" s="5">
        <v>4700</v>
      </c>
      <c r="E65" s="5">
        <v>557</v>
      </c>
      <c r="F65" s="5" t="s">
        <v>22</v>
      </c>
      <c r="G65" s="5">
        <v>5</v>
      </c>
      <c r="H65" s="5" t="s">
        <v>29</v>
      </c>
      <c r="I65" s="5" t="s">
        <v>30</v>
      </c>
      <c r="J65" s="5">
        <v>1493355600</v>
      </c>
      <c r="K65" s="5">
        <v>1493874000</v>
      </c>
      <c r="L65" s="5" t="b">
        <v>0</v>
      </c>
      <c r="M65" s="5" t="b">
        <v>0</v>
      </c>
      <c r="N65" s="5" t="s">
        <v>41</v>
      </c>
      <c r="O65" s="8">
        <f t="shared" si="0"/>
        <v>0.11851063829787234</v>
      </c>
      <c r="P65" s="9">
        <f t="shared" si="2"/>
        <v>111.4</v>
      </c>
      <c r="Q65" s="5" t="str" cm="1">
        <f t="array" ref="Q65:R65">_xlfn.TEXTSPLIT(N65,"/")</f>
        <v>theater</v>
      </c>
      <c r="R65" t="str">
        <v>plays</v>
      </c>
      <c r="S65" s="10">
        <f t="shared" ref="S65:T65" si="65">(((J65/60)/60)/24)+DATE(1970,1,1)</f>
        <v>42853.208333333328</v>
      </c>
      <c r="T65" s="10">
        <f t="shared" si="65"/>
        <v>42859.208333333328</v>
      </c>
    </row>
    <row r="66" spans="1:20" ht="15.75" customHeight="1" x14ac:dyDescent="0.25">
      <c r="A66" s="5">
        <v>64</v>
      </c>
      <c r="B66" s="6" t="s">
        <v>184</v>
      </c>
      <c r="C66" s="7" t="s">
        <v>185</v>
      </c>
      <c r="D66" s="5">
        <v>2800</v>
      </c>
      <c r="E66" s="5">
        <v>2734</v>
      </c>
      <c r="F66" s="5" t="s">
        <v>22</v>
      </c>
      <c r="G66" s="5">
        <v>38</v>
      </c>
      <c r="H66" s="5" t="s">
        <v>29</v>
      </c>
      <c r="I66" s="5" t="s">
        <v>30</v>
      </c>
      <c r="J66" s="5">
        <v>1530507600</v>
      </c>
      <c r="K66" s="5">
        <v>1531803600</v>
      </c>
      <c r="L66" s="5" t="b">
        <v>0</v>
      </c>
      <c r="M66" s="5" t="b">
        <v>1</v>
      </c>
      <c r="N66" s="5" t="s">
        <v>36</v>
      </c>
      <c r="O66" s="8">
        <f t="shared" si="0"/>
        <v>0.97642857142857142</v>
      </c>
      <c r="P66" s="9">
        <f t="shared" si="2"/>
        <v>71.94736842105263</v>
      </c>
      <c r="Q66" s="5" t="str" cm="1">
        <f t="array" ref="Q66:R66">_xlfn.TEXTSPLIT(N66,"/")</f>
        <v>technology</v>
      </c>
      <c r="R66" t="str">
        <v>web</v>
      </c>
      <c r="S66" s="10">
        <f t="shared" ref="S66:T66" si="66">(((J66/60)/60)/24)+DATE(1970,1,1)</f>
        <v>43283.208333333328</v>
      </c>
      <c r="T66" s="10">
        <f t="shared" si="66"/>
        <v>43298.208333333328</v>
      </c>
    </row>
    <row r="67" spans="1:20" ht="15.75" customHeight="1" x14ac:dyDescent="0.25">
      <c r="A67" s="5">
        <v>65</v>
      </c>
      <c r="B67" s="6" t="s">
        <v>186</v>
      </c>
      <c r="C67" s="7" t="s">
        <v>187</v>
      </c>
      <c r="D67" s="5">
        <v>6100</v>
      </c>
      <c r="E67" s="5">
        <v>14405</v>
      </c>
      <c r="F67" s="5" t="s">
        <v>28</v>
      </c>
      <c r="G67" s="5">
        <v>236</v>
      </c>
      <c r="H67" s="5" t="s">
        <v>29</v>
      </c>
      <c r="I67" s="5" t="s">
        <v>30</v>
      </c>
      <c r="J67" s="5">
        <v>1296108000</v>
      </c>
      <c r="K67" s="5">
        <v>1296712800</v>
      </c>
      <c r="L67" s="5" t="b">
        <v>0</v>
      </c>
      <c r="M67" s="5" t="b">
        <v>0</v>
      </c>
      <c r="N67" s="5" t="s">
        <v>41</v>
      </c>
      <c r="O67" s="8">
        <f t="shared" si="0"/>
        <v>2.3614754098360655</v>
      </c>
      <c r="P67" s="9">
        <f t="shared" si="2"/>
        <v>61.038135593220339</v>
      </c>
      <c r="Q67" s="5" t="str" cm="1">
        <f t="array" ref="Q67:R67">_xlfn.TEXTSPLIT(N67,"/")</f>
        <v>theater</v>
      </c>
      <c r="R67" t="str">
        <v>plays</v>
      </c>
      <c r="S67" s="10">
        <f t="shared" ref="S67:T67" si="67">(((J67/60)/60)/24)+DATE(1970,1,1)</f>
        <v>40570.25</v>
      </c>
      <c r="T67" s="10">
        <f t="shared" si="67"/>
        <v>40577.25</v>
      </c>
    </row>
    <row r="68" spans="1:20" ht="15.75" customHeight="1" x14ac:dyDescent="0.25">
      <c r="A68" s="5">
        <v>66</v>
      </c>
      <c r="B68" s="6" t="s">
        <v>188</v>
      </c>
      <c r="C68" s="7" t="s">
        <v>189</v>
      </c>
      <c r="D68" s="5">
        <v>2900</v>
      </c>
      <c r="E68" s="5">
        <v>1307</v>
      </c>
      <c r="F68" s="5" t="s">
        <v>22</v>
      </c>
      <c r="G68" s="5">
        <v>12</v>
      </c>
      <c r="H68" s="5" t="s">
        <v>29</v>
      </c>
      <c r="I68" s="5" t="s">
        <v>30</v>
      </c>
      <c r="J68" s="5">
        <v>1428469200</v>
      </c>
      <c r="K68" s="5">
        <v>1428901200</v>
      </c>
      <c r="L68" s="5" t="b">
        <v>0</v>
      </c>
      <c r="M68" s="5" t="b">
        <v>1</v>
      </c>
      <c r="N68" s="5" t="s">
        <v>41</v>
      </c>
      <c r="O68" s="8">
        <f t="shared" si="0"/>
        <v>0.45068965517241377</v>
      </c>
      <c r="P68" s="9">
        <f t="shared" si="2"/>
        <v>108.91666666666667</v>
      </c>
      <c r="Q68" s="5" t="str" cm="1">
        <f t="array" ref="Q68:R68">_xlfn.TEXTSPLIT(N68,"/")</f>
        <v>theater</v>
      </c>
      <c r="R68" t="str">
        <v>plays</v>
      </c>
      <c r="S68" s="10">
        <f t="shared" ref="S68:T68" si="68">(((J68/60)/60)/24)+DATE(1970,1,1)</f>
        <v>42102.208333333328</v>
      </c>
      <c r="T68" s="10">
        <f t="shared" si="68"/>
        <v>42107.208333333328</v>
      </c>
    </row>
    <row r="69" spans="1:20" ht="15.75" customHeight="1" x14ac:dyDescent="0.25">
      <c r="A69" s="5">
        <v>67</v>
      </c>
      <c r="B69" s="6" t="s">
        <v>190</v>
      </c>
      <c r="C69" s="7" t="s">
        <v>191</v>
      </c>
      <c r="D69" s="5">
        <v>72600</v>
      </c>
      <c r="E69" s="5">
        <v>117892</v>
      </c>
      <c r="F69" s="5" t="s">
        <v>28</v>
      </c>
      <c r="G69" s="5">
        <v>4065</v>
      </c>
      <c r="H69" s="5" t="s">
        <v>48</v>
      </c>
      <c r="I69" s="5" t="s">
        <v>49</v>
      </c>
      <c r="J69" s="5">
        <v>1264399200</v>
      </c>
      <c r="K69" s="5">
        <v>1264831200</v>
      </c>
      <c r="L69" s="5" t="b">
        <v>0</v>
      </c>
      <c r="M69" s="5" t="b">
        <v>1</v>
      </c>
      <c r="N69" s="5" t="s">
        <v>73</v>
      </c>
      <c r="O69" s="8">
        <f t="shared" si="0"/>
        <v>1.6238567493112948</v>
      </c>
      <c r="P69" s="9">
        <f t="shared" si="2"/>
        <v>29.001722017220171</v>
      </c>
      <c r="Q69" s="5" t="str" cm="1">
        <f t="array" ref="Q69:R69">_xlfn.TEXTSPLIT(N69,"/")</f>
        <v>technology</v>
      </c>
      <c r="R69" t="str">
        <v>wearables</v>
      </c>
      <c r="S69" s="10">
        <f t="shared" ref="S69:T69" si="69">(((J69/60)/60)/24)+DATE(1970,1,1)</f>
        <v>40203.25</v>
      </c>
      <c r="T69" s="10">
        <f t="shared" si="69"/>
        <v>40208.25</v>
      </c>
    </row>
    <row r="70" spans="1:20" ht="15.75" customHeight="1" x14ac:dyDescent="0.25">
      <c r="A70" s="5">
        <v>68</v>
      </c>
      <c r="B70" s="6" t="s">
        <v>192</v>
      </c>
      <c r="C70" s="7" t="s">
        <v>193</v>
      </c>
      <c r="D70" s="5">
        <v>5700</v>
      </c>
      <c r="E70" s="5">
        <v>14508</v>
      </c>
      <c r="F70" s="5" t="s">
        <v>28</v>
      </c>
      <c r="G70" s="5">
        <v>246</v>
      </c>
      <c r="H70" s="5" t="s">
        <v>115</v>
      </c>
      <c r="I70" s="5" t="s">
        <v>116</v>
      </c>
      <c r="J70" s="5">
        <v>1501131600</v>
      </c>
      <c r="K70" s="5">
        <v>1505192400</v>
      </c>
      <c r="L70" s="5" t="b">
        <v>0</v>
      </c>
      <c r="M70" s="5" t="b">
        <v>1</v>
      </c>
      <c r="N70" s="5" t="s">
        <v>41</v>
      </c>
      <c r="O70" s="8">
        <f t="shared" si="0"/>
        <v>2.5452631578947367</v>
      </c>
      <c r="P70" s="9">
        <f t="shared" si="2"/>
        <v>58.975609756097562</v>
      </c>
      <c r="Q70" s="5" t="str" cm="1">
        <f t="array" ref="Q70:R70">_xlfn.TEXTSPLIT(N70,"/")</f>
        <v>theater</v>
      </c>
      <c r="R70" t="str">
        <v>plays</v>
      </c>
      <c r="S70" s="10">
        <f t="shared" ref="S70:T70" si="70">(((J70/60)/60)/24)+DATE(1970,1,1)</f>
        <v>42943.208333333328</v>
      </c>
      <c r="T70" s="10">
        <f t="shared" si="70"/>
        <v>42990.208333333328</v>
      </c>
    </row>
    <row r="71" spans="1:20" ht="15.75" customHeight="1" x14ac:dyDescent="0.25">
      <c r="A71" s="5">
        <v>69</v>
      </c>
      <c r="B71" s="6" t="s">
        <v>194</v>
      </c>
      <c r="C71" s="7" t="s">
        <v>195</v>
      </c>
      <c r="D71" s="5">
        <v>7900</v>
      </c>
      <c r="E71" s="5">
        <v>1901</v>
      </c>
      <c r="F71" s="5" t="s">
        <v>82</v>
      </c>
      <c r="G71" s="5">
        <v>17</v>
      </c>
      <c r="H71" s="5" t="s">
        <v>29</v>
      </c>
      <c r="I71" s="5" t="s">
        <v>30</v>
      </c>
      <c r="J71" s="5">
        <v>1292738400</v>
      </c>
      <c r="K71" s="5">
        <v>1295676000</v>
      </c>
      <c r="L71" s="5" t="b">
        <v>0</v>
      </c>
      <c r="M71" s="5" t="b">
        <v>0</v>
      </c>
      <c r="N71" s="5" t="s">
        <v>41</v>
      </c>
      <c r="O71" s="8">
        <f t="shared" si="0"/>
        <v>0.24063291139240506</v>
      </c>
      <c r="P71" s="9">
        <f t="shared" si="2"/>
        <v>111.82352941176471</v>
      </c>
      <c r="Q71" s="5" t="str" cm="1">
        <f t="array" ref="Q71:R71">_xlfn.TEXTSPLIT(N71,"/")</f>
        <v>theater</v>
      </c>
      <c r="R71" t="str">
        <v>plays</v>
      </c>
      <c r="S71" s="10">
        <f t="shared" ref="S71:T71" si="71">(((J71/60)/60)/24)+DATE(1970,1,1)</f>
        <v>40531.25</v>
      </c>
      <c r="T71" s="10">
        <f t="shared" si="71"/>
        <v>40565.25</v>
      </c>
    </row>
    <row r="72" spans="1:20" ht="15.75" customHeight="1" x14ac:dyDescent="0.25">
      <c r="A72" s="5">
        <v>70</v>
      </c>
      <c r="B72" s="6" t="s">
        <v>196</v>
      </c>
      <c r="C72" s="7" t="s">
        <v>197</v>
      </c>
      <c r="D72" s="5">
        <v>128000</v>
      </c>
      <c r="E72" s="5">
        <v>158389</v>
      </c>
      <c r="F72" s="5" t="s">
        <v>28</v>
      </c>
      <c r="G72" s="5">
        <v>2475</v>
      </c>
      <c r="H72" s="5" t="s">
        <v>115</v>
      </c>
      <c r="I72" s="5" t="s">
        <v>116</v>
      </c>
      <c r="J72" s="5">
        <v>1288674000</v>
      </c>
      <c r="K72" s="5">
        <v>1292911200</v>
      </c>
      <c r="L72" s="5" t="b">
        <v>0</v>
      </c>
      <c r="M72" s="5" t="b">
        <v>1</v>
      </c>
      <c r="N72" s="5" t="s">
        <v>41</v>
      </c>
      <c r="O72" s="8">
        <f t="shared" si="0"/>
        <v>1.2374140625000001</v>
      </c>
      <c r="P72" s="9">
        <f t="shared" si="2"/>
        <v>63.995555555555555</v>
      </c>
      <c r="Q72" s="5" t="str" cm="1">
        <f t="array" ref="Q72:R72">_xlfn.TEXTSPLIT(N72,"/")</f>
        <v>theater</v>
      </c>
      <c r="R72" t="str">
        <v>plays</v>
      </c>
      <c r="S72" s="10">
        <f t="shared" ref="S72:T72" si="72">(((J72/60)/60)/24)+DATE(1970,1,1)</f>
        <v>40484.208333333336</v>
      </c>
      <c r="T72" s="10">
        <f t="shared" si="72"/>
        <v>40533.25</v>
      </c>
    </row>
    <row r="73" spans="1:20" ht="15.75" customHeight="1" x14ac:dyDescent="0.25">
      <c r="A73" s="5">
        <v>71</v>
      </c>
      <c r="B73" s="6" t="s">
        <v>198</v>
      </c>
      <c r="C73" s="7" t="s">
        <v>199</v>
      </c>
      <c r="D73" s="5">
        <v>6000</v>
      </c>
      <c r="E73" s="5">
        <v>6484</v>
      </c>
      <c r="F73" s="5" t="s">
        <v>28</v>
      </c>
      <c r="G73" s="5">
        <v>76</v>
      </c>
      <c r="H73" s="5" t="s">
        <v>29</v>
      </c>
      <c r="I73" s="5" t="s">
        <v>30</v>
      </c>
      <c r="J73" s="5">
        <v>1575093600</v>
      </c>
      <c r="K73" s="5">
        <v>1575439200</v>
      </c>
      <c r="L73" s="5" t="b">
        <v>0</v>
      </c>
      <c r="M73" s="5" t="b">
        <v>0</v>
      </c>
      <c r="N73" s="5" t="s">
        <v>41</v>
      </c>
      <c r="O73" s="8">
        <f t="shared" si="0"/>
        <v>1.0806666666666667</v>
      </c>
      <c r="P73" s="9">
        <f t="shared" si="2"/>
        <v>85.315789473684205</v>
      </c>
      <c r="Q73" s="5" t="str" cm="1">
        <f t="array" ref="Q73:R73">_xlfn.TEXTSPLIT(N73,"/")</f>
        <v>theater</v>
      </c>
      <c r="R73" t="str">
        <v>plays</v>
      </c>
      <c r="S73" s="10">
        <f t="shared" ref="S73:T73" si="73">(((J73/60)/60)/24)+DATE(1970,1,1)</f>
        <v>43799.25</v>
      </c>
      <c r="T73" s="10">
        <f t="shared" si="73"/>
        <v>43803.25</v>
      </c>
    </row>
    <row r="74" spans="1:20" ht="15.75" customHeight="1" x14ac:dyDescent="0.25">
      <c r="A74" s="5">
        <v>72</v>
      </c>
      <c r="B74" s="6" t="s">
        <v>200</v>
      </c>
      <c r="C74" s="7" t="s">
        <v>201</v>
      </c>
      <c r="D74" s="5">
        <v>600</v>
      </c>
      <c r="E74" s="5">
        <v>4022</v>
      </c>
      <c r="F74" s="5" t="s">
        <v>28</v>
      </c>
      <c r="G74" s="5">
        <v>54</v>
      </c>
      <c r="H74" s="5" t="s">
        <v>29</v>
      </c>
      <c r="I74" s="5" t="s">
        <v>30</v>
      </c>
      <c r="J74" s="5">
        <v>1435726800</v>
      </c>
      <c r="K74" s="5">
        <v>1438837200</v>
      </c>
      <c r="L74" s="5" t="b">
        <v>0</v>
      </c>
      <c r="M74" s="5" t="b">
        <v>0</v>
      </c>
      <c r="N74" s="5" t="s">
        <v>79</v>
      </c>
      <c r="O74" s="8">
        <f t="shared" si="0"/>
        <v>6.7033333333333331</v>
      </c>
      <c r="P74" s="9">
        <f t="shared" si="2"/>
        <v>74.481481481481481</v>
      </c>
      <c r="Q74" s="5" t="str" cm="1">
        <f t="array" ref="Q74:R74">_xlfn.TEXTSPLIT(N74,"/")</f>
        <v>film &amp; video</v>
      </c>
      <c r="R74" t="str">
        <v>animation</v>
      </c>
      <c r="S74" s="10">
        <f t="shared" ref="S74:T74" si="74">(((J74/60)/60)/24)+DATE(1970,1,1)</f>
        <v>42186.208333333328</v>
      </c>
      <c r="T74" s="10">
        <f t="shared" si="74"/>
        <v>42222.208333333328</v>
      </c>
    </row>
    <row r="75" spans="1:20" ht="15.75" customHeight="1" x14ac:dyDescent="0.25">
      <c r="A75" s="5">
        <v>73</v>
      </c>
      <c r="B75" s="6" t="s">
        <v>202</v>
      </c>
      <c r="C75" s="7" t="s">
        <v>203</v>
      </c>
      <c r="D75" s="5">
        <v>1400</v>
      </c>
      <c r="E75" s="5">
        <v>9253</v>
      </c>
      <c r="F75" s="5" t="s">
        <v>28</v>
      </c>
      <c r="G75" s="5">
        <v>88</v>
      </c>
      <c r="H75" s="5" t="s">
        <v>29</v>
      </c>
      <c r="I75" s="5" t="s">
        <v>30</v>
      </c>
      <c r="J75" s="5">
        <v>1480226400</v>
      </c>
      <c r="K75" s="5">
        <v>1480485600</v>
      </c>
      <c r="L75" s="5" t="b">
        <v>0</v>
      </c>
      <c r="M75" s="5" t="b">
        <v>0</v>
      </c>
      <c r="N75" s="5" t="s">
        <v>167</v>
      </c>
      <c r="O75" s="8">
        <f t="shared" si="0"/>
        <v>6.609285714285714</v>
      </c>
      <c r="P75" s="9">
        <f t="shared" si="2"/>
        <v>105.14772727272727</v>
      </c>
      <c r="Q75" s="5" t="str" cm="1">
        <f t="array" ref="Q75:R75">_xlfn.TEXTSPLIT(N75,"/")</f>
        <v>music</v>
      </c>
      <c r="R75" t="str">
        <v>jazz</v>
      </c>
      <c r="S75" s="10">
        <f t="shared" ref="S75:T75" si="75">(((J75/60)/60)/24)+DATE(1970,1,1)</f>
        <v>42701.25</v>
      </c>
      <c r="T75" s="10">
        <f t="shared" si="75"/>
        <v>42704.25</v>
      </c>
    </row>
    <row r="76" spans="1:20" ht="15.75" customHeight="1" x14ac:dyDescent="0.25">
      <c r="A76" s="5">
        <v>74</v>
      </c>
      <c r="B76" s="6" t="s">
        <v>204</v>
      </c>
      <c r="C76" s="7" t="s">
        <v>205</v>
      </c>
      <c r="D76" s="5">
        <v>3900</v>
      </c>
      <c r="E76" s="5">
        <v>4776</v>
      </c>
      <c r="F76" s="5" t="s">
        <v>28</v>
      </c>
      <c r="G76" s="5">
        <v>85</v>
      </c>
      <c r="H76" s="5" t="s">
        <v>48</v>
      </c>
      <c r="I76" s="5" t="s">
        <v>49</v>
      </c>
      <c r="J76" s="5">
        <v>1459054800</v>
      </c>
      <c r="K76" s="5">
        <v>1459141200</v>
      </c>
      <c r="L76" s="5" t="b">
        <v>0</v>
      </c>
      <c r="M76" s="5" t="b">
        <v>0</v>
      </c>
      <c r="N76" s="5" t="s">
        <v>156</v>
      </c>
      <c r="O76" s="8">
        <f t="shared" si="0"/>
        <v>1.2246153846153847</v>
      </c>
      <c r="P76" s="9">
        <f t="shared" si="2"/>
        <v>56.188235294117646</v>
      </c>
      <c r="Q76" s="5" t="str" cm="1">
        <f t="array" ref="Q76:R76">_xlfn.TEXTSPLIT(N76,"/")</f>
        <v>music</v>
      </c>
      <c r="R76" t="str">
        <v>metal</v>
      </c>
      <c r="S76" s="10">
        <f t="shared" ref="S76:T76" si="76">(((J76/60)/60)/24)+DATE(1970,1,1)</f>
        <v>42456.208333333328</v>
      </c>
      <c r="T76" s="10">
        <f t="shared" si="76"/>
        <v>42457.208333333328</v>
      </c>
    </row>
    <row r="77" spans="1:20" ht="15.75" customHeight="1" x14ac:dyDescent="0.25">
      <c r="A77" s="5">
        <v>75</v>
      </c>
      <c r="B77" s="6" t="s">
        <v>206</v>
      </c>
      <c r="C77" s="7" t="s">
        <v>207</v>
      </c>
      <c r="D77" s="5">
        <v>9700</v>
      </c>
      <c r="E77" s="5">
        <v>14606</v>
      </c>
      <c r="F77" s="5" t="s">
        <v>28</v>
      </c>
      <c r="G77" s="5">
        <v>170</v>
      </c>
      <c r="H77" s="5" t="s">
        <v>29</v>
      </c>
      <c r="I77" s="5" t="s">
        <v>30</v>
      </c>
      <c r="J77" s="5">
        <v>1531630800</v>
      </c>
      <c r="K77" s="5">
        <v>1532322000</v>
      </c>
      <c r="L77" s="5" t="b">
        <v>0</v>
      </c>
      <c r="M77" s="5" t="b">
        <v>0</v>
      </c>
      <c r="N77" s="5" t="s">
        <v>130</v>
      </c>
      <c r="O77" s="8">
        <f t="shared" si="0"/>
        <v>1.5057731958762886</v>
      </c>
      <c r="P77" s="9">
        <f t="shared" si="2"/>
        <v>85.917647058823533</v>
      </c>
      <c r="Q77" s="5" t="str" cm="1">
        <f t="array" ref="Q77:R77">_xlfn.TEXTSPLIT(N77,"/")</f>
        <v>photography</v>
      </c>
      <c r="R77" t="str">
        <v>photography books</v>
      </c>
      <c r="S77" s="10">
        <f t="shared" ref="S77:T77" si="77">(((J77/60)/60)/24)+DATE(1970,1,1)</f>
        <v>43296.208333333328</v>
      </c>
      <c r="T77" s="10">
        <f t="shared" si="77"/>
        <v>43304.208333333328</v>
      </c>
    </row>
    <row r="78" spans="1:20" ht="15.75" customHeight="1" x14ac:dyDescent="0.25">
      <c r="A78" s="5">
        <v>76</v>
      </c>
      <c r="B78" s="6" t="s">
        <v>208</v>
      </c>
      <c r="C78" s="7" t="s">
        <v>209</v>
      </c>
      <c r="D78" s="5">
        <v>122900</v>
      </c>
      <c r="E78" s="5">
        <v>95993</v>
      </c>
      <c r="F78" s="5" t="s">
        <v>22</v>
      </c>
      <c r="G78" s="5">
        <v>1684</v>
      </c>
      <c r="H78" s="5" t="s">
        <v>29</v>
      </c>
      <c r="I78" s="5" t="s">
        <v>30</v>
      </c>
      <c r="J78" s="5">
        <v>1421992800</v>
      </c>
      <c r="K78" s="5">
        <v>1426222800</v>
      </c>
      <c r="L78" s="5" t="b">
        <v>1</v>
      </c>
      <c r="M78" s="5" t="b">
        <v>1</v>
      </c>
      <c r="N78" s="5" t="s">
        <v>41</v>
      </c>
      <c r="O78" s="8">
        <f t="shared" si="0"/>
        <v>0.78106590724165992</v>
      </c>
      <c r="P78" s="9">
        <f t="shared" si="2"/>
        <v>57.00296912114014</v>
      </c>
      <c r="Q78" s="5" t="str" cm="1">
        <f t="array" ref="Q78:R78">_xlfn.TEXTSPLIT(N78,"/")</f>
        <v>theater</v>
      </c>
      <c r="R78" t="str">
        <v>plays</v>
      </c>
      <c r="S78" s="10">
        <f t="shared" ref="S78:T78" si="78">(((J78/60)/60)/24)+DATE(1970,1,1)</f>
        <v>42027.25</v>
      </c>
      <c r="T78" s="10">
        <f t="shared" si="78"/>
        <v>42076.208333333328</v>
      </c>
    </row>
    <row r="79" spans="1:20" ht="15.75" customHeight="1" x14ac:dyDescent="0.25">
      <c r="A79" s="5">
        <v>77</v>
      </c>
      <c r="B79" s="6" t="s">
        <v>210</v>
      </c>
      <c r="C79" s="7" t="s">
        <v>211</v>
      </c>
      <c r="D79" s="5">
        <v>9500</v>
      </c>
      <c r="E79" s="5">
        <v>4460</v>
      </c>
      <c r="F79" s="5" t="s">
        <v>22</v>
      </c>
      <c r="G79" s="5">
        <v>56</v>
      </c>
      <c r="H79" s="5" t="s">
        <v>29</v>
      </c>
      <c r="I79" s="5" t="s">
        <v>30</v>
      </c>
      <c r="J79" s="5">
        <v>1285563600</v>
      </c>
      <c r="K79" s="5">
        <v>1286773200</v>
      </c>
      <c r="L79" s="5" t="b">
        <v>0</v>
      </c>
      <c r="M79" s="5" t="b">
        <v>1</v>
      </c>
      <c r="N79" s="5" t="s">
        <v>79</v>
      </c>
      <c r="O79" s="8">
        <f t="shared" si="0"/>
        <v>0.46947368421052632</v>
      </c>
      <c r="P79" s="9">
        <f t="shared" si="2"/>
        <v>79.642857142857139</v>
      </c>
      <c r="Q79" s="5" t="str" cm="1">
        <f t="array" ref="Q79:R79">_xlfn.TEXTSPLIT(N79,"/")</f>
        <v>film &amp; video</v>
      </c>
      <c r="R79" t="str">
        <v>animation</v>
      </c>
      <c r="S79" s="10">
        <f t="shared" ref="S79:T79" si="79">(((J79/60)/60)/24)+DATE(1970,1,1)</f>
        <v>40448.208333333336</v>
      </c>
      <c r="T79" s="10">
        <f t="shared" si="79"/>
        <v>40462.208333333336</v>
      </c>
    </row>
    <row r="80" spans="1:20" ht="15.75" customHeight="1" x14ac:dyDescent="0.25">
      <c r="A80" s="5">
        <v>78</v>
      </c>
      <c r="B80" s="6" t="s">
        <v>212</v>
      </c>
      <c r="C80" s="7" t="s">
        <v>213</v>
      </c>
      <c r="D80" s="5">
        <v>4500</v>
      </c>
      <c r="E80" s="5">
        <v>13536</v>
      </c>
      <c r="F80" s="5" t="s">
        <v>28</v>
      </c>
      <c r="G80" s="5">
        <v>330</v>
      </c>
      <c r="H80" s="5" t="s">
        <v>29</v>
      </c>
      <c r="I80" s="5" t="s">
        <v>30</v>
      </c>
      <c r="J80" s="5">
        <v>1523854800</v>
      </c>
      <c r="K80" s="5">
        <v>1523941200</v>
      </c>
      <c r="L80" s="5" t="b">
        <v>0</v>
      </c>
      <c r="M80" s="5" t="b">
        <v>0</v>
      </c>
      <c r="N80" s="5" t="s">
        <v>214</v>
      </c>
      <c r="O80" s="8">
        <f t="shared" si="0"/>
        <v>3.008</v>
      </c>
      <c r="P80" s="9">
        <f t="shared" si="2"/>
        <v>41.018181818181816</v>
      </c>
      <c r="Q80" s="5" t="str" cm="1">
        <f t="array" ref="Q80:R80">_xlfn.TEXTSPLIT(N80,"/")</f>
        <v>publishing</v>
      </c>
      <c r="R80" t="str">
        <v>translations</v>
      </c>
      <c r="S80" s="10">
        <f t="shared" ref="S80:T80" si="80">(((J80/60)/60)/24)+DATE(1970,1,1)</f>
        <v>43206.208333333328</v>
      </c>
      <c r="T80" s="10">
        <f t="shared" si="80"/>
        <v>43207.208333333328</v>
      </c>
    </row>
    <row r="81" spans="1:20" ht="15.75" customHeight="1" x14ac:dyDescent="0.25">
      <c r="A81" s="5">
        <v>79</v>
      </c>
      <c r="B81" s="6" t="s">
        <v>215</v>
      </c>
      <c r="C81" s="7" t="s">
        <v>216</v>
      </c>
      <c r="D81" s="5">
        <v>57800</v>
      </c>
      <c r="E81" s="5">
        <v>40228</v>
      </c>
      <c r="F81" s="5" t="s">
        <v>22</v>
      </c>
      <c r="G81" s="5">
        <v>838</v>
      </c>
      <c r="H81" s="5" t="s">
        <v>29</v>
      </c>
      <c r="I81" s="5" t="s">
        <v>30</v>
      </c>
      <c r="J81" s="5">
        <v>1529125200</v>
      </c>
      <c r="K81" s="5">
        <v>1529557200</v>
      </c>
      <c r="L81" s="5" t="b">
        <v>0</v>
      </c>
      <c r="M81" s="5" t="b">
        <v>0</v>
      </c>
      <c r="N81" s="5" t="s">
        <v>41</v>
      </c>
      <c r="O81" s="8">
        <f t="shared" si="0"/>
        <v>0.6959861591695502</v>
      </c>
      <c r="P81" s="9">
        <f t="shared" si="2"/>
        <v>48.004773269689736</v>
      </c>
      <c r="Q81" s="5" t="str" cm="1">
        <f t="array" ref="Q81:R81">_xlfn.TEXTSPLIT(N81,"/")</f>
        <v>theater</v>
      </c>
      <c r="R81" t="str">
        <v>plays</v>
      </c>
      <c r="S81" s="10">
        <f t="shared" ref="S81:T81" si="81">(((J81/60)/60)/24)+DATE(1970,1,1)</f>
        <v>43267.208333333328</v>
      </c>
      <c r="T81" s="10">
        <f t="shared" si="81"/>
        <v>43272.208333333328</v>
      </c>
    </row>
    <row r="82" spans="1:20" ht="15.75" customHeight="1" x14ac:dyDescent="0.25">
      <c r="A82" s="5">
        <v>80</v>
      </c>
      <c r="B82" s="6" t="s">
        <v>217</v>
      </c>
      <c r="C82" s="7" t="s">
        <v>218</v>
      </c>
      <c r="D82" s="5">
        <v>1100</v>
      </c>
      <c r="E82" s="5">
        <v>7012</v>
      </c>
      <c r="F82" s="5" t="s">
        <v>28</v>
      </c>
      <c r="G82" s="5">
        <v>127</v>
      </c>
      <c r="H82" s="5" t="s">
        <v>29</v>
      </c>
      <c r="I82" s="5" t="s">
        <v>30</v>
      </c>
      <c r="J82" s="5">
        <v>1503982800</v>
      </c>
      <c r="K82" s="5">
        <v>1506574800</v>
      </c>
      <c r="L82" s="5" t="b">
        <v>0</v>
      </c>
      <c r="M82" s="5" t="b">
        <v>0</v>
      </c>
      <c r="N82" s="5" t="s">
        <v>97</v>
      </c>
      <c r="O82" s="8">
        <f t="shared" si="0"/>
        <v>6.374545454545455</v>
      </c>
      <c r="P82" s="9">
        <f t="shared" si="2"/>
        <v>55.212598425196852</v>
      </c>
      <c r="Q82" s="5" t="str" cm="1">
        <f t="array" ref="Q82:R82">_xlfn.TEXTSPLIT(N82,"/")</f>
        <v>games</v>
      </c>
      <c r="R82" t="str">
        <v>video games</v>
      </c>
      <c r="S82" s="10">
        <f t="shared" ref="S82:T82" si="82">(((J82/60)/60)/24)+DATE(1970,1,1)</f>
        <v>42976.208333333328</v>
      </c>
      <c r="T82" s="10">
        <f t="shared" si="82"/>
        <v>43006.208333333328</v>
      </c>
    </row>
    <row r="83" spans="1:20" ht="15.75" customHeight="1" x14ac:dyDescent="0.25">
      <c r="A83" s="5">
        <v>81</v>
      </c>
      <c r="B83" s="6" t="s">
        <v>219</v>
      </c>
      <c r="C83" s="7" t="s">
        <v>220</v>
      </c>
      <c r="D83" s="5">
        <v>16800</v>
      </c>
      <c r="E83" s="5">
        <v>37857</v>
      </c>
      <c r="F83" s="5" t="s">
        <v>28</v>
      </c>
      <c r="G83" s="5">
        <v>411</v>
      </c>
      <c r="H83" s="5" t="s">
        <v>29</v>
      </c>
      <c r="I83" s="5" t="s">
        <v>30</v>
      </c>
      <c r="J83" s="5">
        <v>1511416800</v>
      </c>
      <c r="K83" s="5">
        <v>1513576800</v>
      </c>
      <c r="L83" s="5" t="b">
        <v>0</v>
      </c>
      <c r="M83" s="5" t="b">
        <v>0</v>
      </c>
      <c r="N83" s="5" t="s">
        <v>31</v>
      </c>
      <c r="O83" s="8">
        <f t="shared" si="0"/>
        <v>2.253392857142857</v>
      </c>
      <c r="P83" s="9">
        <f t="shared" si="2"/>
        <v>92.109489051094897</v>
      </c>
      <c r="Q83" s="5" t="str" cm="1">
        <f t="array" ref="Q83:R83">_xlfn.TEXTSPLIT(N83,"/")</f>
        <v>music</v>
      </c>
      <c r="R83" t="str">
        <v>rock</v>
      </c>
      <c r="S83" s="10">
        <f t="shared" ref="S83:T83" si="83">(((J83/60)/60)/24)+DATE(1970,1,1)</f>
        <v>43062.25</v>
      </c>
      <c r="T83" s="10">
        <f t="shared" si="83"/>
        <v>43087.25</v>
      </c>
    </row>
    <row r="84" spans="1:20" ht="15.75" customHeight="1" x14ac:dyDescent="0.25">
      <c r="A84" s="5">
        <v>82</v>
      </c>
      <c r="B84" s="6" t="s">
        <v>221</v>
      </c>
      <c r="C84" s="7" t="s">
        <v>222</v>
      </c>
      <c r="D84" s="5">
        <v>1000</v>
      </c>
      <c r="E84" s="5">
        <v>14973</v>
      </c>
      <c r="F84" s="5" t="s">
        <v>28</v>
      </c>
      <c r="G84" s="5">
        <v>180</v>
      </c>
      <c r="H84" s="5" t="s">
        <v>48</v>
      </c>
      <c r="I84" s="5" t="s">
        <v>49</v>
      </c>
      <c r="J84" s="5">
        <v>1547704800</v>
      </c>
      <c r="K84" s="5">
        <v>1548309600</v>
      </c>
      <c r="L84" s="5" t="b">
        <v>0</v>
      </c>
      <c r="M84" s="5" t="b">
        <v>1</v>
      </c>
      <c r="N84" s="5" t="s">
        <v>97</v>
      </c>
      <c r="O84" s="8">
        <f t="shared" si="0"/>
        <v>14.973000000000001</v>
      </c>
      <c r="P84" s="9">
        <f t="shared" si="2"/>
        <v>83.183333333333337</v>
      </c>
      <c r="Q84" s="5" t="str" cm="1">
        <f t="array" ref="Q84:R84">_xlfn.TEXTSPLIT(N84,"/")</f>
        <v>games</v>
      </c>
      <c r="R84" t="str">
        <v>video games</v>
      </c>
      <c r="S84" s="10">
        <f t="shared" ref="S84:T84" si="84">(((J84/60)/60)/24)+DATE(1970,1,1)</f>
        <v>43482.25</v>
      </c>
      <c r="T84" s="10">
        <f t="shared" si="84"/>
        <v>43489.25</v>
      </c>
    </row>
    <row r="85" spans="1:20" ht="15.75" customHeight="1" x14ac:dyDescent="0.25">
      <c r="A85" s="5">
        <v>83</v>
      </c>
      <c r="B85" s="6" t="s">
        <v>223</v>
      </c>
      <c r="C85" s="7" t="s">
        <v>224</v>
      </c>
      <c r="D85" s="5">
        <v>106400</v>
      </c>
      <c r="E85" s="5">
        <v>39996</v>
      </c>
      <c r="F85" s="5" t="s">
        <v>22</v>
      </c>
      <c r="G85" s="5">
        <v>1000</v>
      </c>
      <c r="H85" s="5" t="s">
        <v>29</v>
      </c>
      <c r="I85" s="5" t="s">
        <v>30</v>
      </c>
      <c r="J85" s="5">
        <v>1469682000</v>
      </c>
      <c r="K85" s="5">
        <v>1471582800</v>
      </c>
      <c r="L85" s="5" t="b">
        <v>0</v>
      </c>
      <c r="M85" s="5" t="b">
        <v>0</v>
      </c>
      <c r="N85" s="5" t="s">
        <v>58</v>
      </c>
      <c r="O85" s="8">
        <f t="shared" si="0"/>
        <v>0.37590225563909774</v>
      </c>
      <c r="P85" s="9">
        <f t="shared" si="2"/>
        <v>39.996000000000002</v>
      </c>
      <c r="Q85" s="5" t="str" cm="1">
        <f t="array" ref="Q85:R85">_xlfn.TEXTSPLIT(N85,"/")</f>
        <v>music</v>
      </c>
      <c r="R85" t="str">
        <v>electric music</v>
      </c>
      <c r="S85" s="10">
        <f t="shared" ref="S85:T85" si="85">(((J85/60)/60)/24)+DATE(1970,1,1)</f>
        <v>42579.208333333328</v>
      </c>
      <c r="T85" s="10">
        <f t="shared" si="85"/>
        <v>42601.208333333328</v>
      </c>
    </row>
    <row r="86" spans="1:20" ht="15.75" customHeight="1" x14ac:dyDescent="0.25">
      <c r="A86" s="5">
        <v>84</v>
      </c>
      <c r="B86" s="6" t="s">
        <v>225</v>
      </c>
      <c r="C86" s="7" t="s">
        <v>226</v>
      </c>
      <c r="D86" s="5">
        <v>31400</v>
      </c>
      <c r="E86" s="5">
        <v>41564</v>
      </c>
      <c r="F86" s="5" t="s">
        <v>28</v>
      </c>
      <c r="G86" s="5">
        <v>374</v>
      </c>
      <c r="H86" s="5" t="s">
        <v>29</v>
      </c>
      <c r="I86" s="5" t="s">
        <v>30</v>
      </c>
      <c r="J86" s="5">
        <v>1343451600</v>
      </c>
      <c r="K86" s="5">
        <v>1344315600</v>
      </c>
      <c r="L86" s="5" t="b">
        <v>0</v>
      </c>
      <c r="M86" s="5" t="b">
        <v>0</v>
      </c>
      <c r="N86" s="5" t="s">
        <v>73</v>
      </c>
      <c r="O86" s="8">
        <f t="shared" si="0"/>
        <v>1.3236942675159236</v>
      </c>
      <c r="P86" s="9">
        <f t="shared" si="2"/>
        <v>111.1336898395722</v>
      </c>
      <c r="Q86" s="5" t="str" cm="1">
        <f t="array" ref="Q86:R86">_xlfn.TEXTSPLIT(N86,"/")</f>
        <v>technology</v>
      </c>
      <c r="R86" t="str">
        <v>wearables</v>
      </c>
      <c r="S86" s="10">
        <f t="shared" ref="S86:T86" si="86">(((J86/60)/60)/24)+DATE(1970,1,1)</f>
        <v>41118.208333333336</v>
      </c>
      <c r="T86" s="10">
        <f t="shared" si="86"/>
        <v>41128.208333333336</v>
      </c>
    </row>
    <row r="87" spans="1:20" ht="15.75" customHeight="1" x14ac:dyDescent="0.25">
      <c r="A87" s="5">
        <v>85</v>
      </c>
      <c r="B87" s="6" t="s">
        <v>227</v>
      </c>
      <c r="C87" s="7" t="s">
        <v>228</v>
      </c>
      <c r="D87" s="5">
        <v>4900</v>
      </c>
      <c r="E87" s="5">
        <v>6430</v>
      </c>
      <c r="F87" s="5" t="s">
        <v>28</v>
      </c>
      <c r="G87" s="5">
        <v>71</v>
      </c>
      <c r="H87" s="5" t="s">
        <v>34</v>
      </c>
      <c r="I87" s="5" t="s">
        <v>35</v>
      </c>
      <c r="J87" s="5">
        <v>1315717200</v>
      </c>
      <c r="K87" s="5">
        <v>1316408400</v>
      </c>
      <c r="L87" s="5" t="b">
        <v>0</v>
      </c>
      <c r="M87" s="5" t="b">
        <v>0</v>
      </c>
      <c r="N87" s="5" t="s">
        <v>68</v>
      </c>
      <c r="O87" s="8">
        <f t="shared" si="0"/>
        <v>1.3122448979591836</v>
      </c>
      <c r="P87" s="9">
        <f t="shared" si="2"/>
        <v>90.563380281690144</v>
      </c>
      <c r="Q87" s="5" t="str" cm="1">
        <f t="array" ref="Q87:R87">_xlfn.TEXTSPLIT(N87,"/")</f>
        <v>music</v>
      </c>
      <c r="R87" t="str">
        <v>indie rock</v>
      </c>
      <c r="S87" s="10">
        <f t="shared" ref="S87:T87" si="87">(((J87/60)/60)/24)+DATE(1970,1,1)</f>
        <v>40797.208333333336</v>
      </c>
      <c r="T87" s="10">
        <f t="shared" si="87"/>
        <v>40805.208333333336</v>
      </c>
    </row>
    <row r="88" spans="1:20" ht="15.75" customHeight="1" x14ac:dyDescent="0.25">
      <c r="A88" s="5">
        <v>86</v>
      </c>
      <c r="B88" s="6" t="s">
        <v>229</v>
      </c>
      <c r="C88" s="7" t="s">
        <v>230</v>
      </c>
      <c r="D88" s="5">
        <v>7400</v>
      </c>
      <c r="E88" s="5">
        <v>12405</v>
      </c>
      <c r="F88" s="5" t="s">
        <v>28</v>
      </c>
      <c r="G88" s="5">
        <v>203</v>
      </c>
      <c r="H88" s="5" t="s">
        <v>29</v>
      </c>
      <c r="I88" s="5" t="s">
        <v>30</v>
      </c>
      <c r="J88" s="5">
        <v>1430715600</v>
      </c>
      <c r="K88" s="5">
        <v>1431838800</v>
      </c>
      <c r="L88" s="5" t="b">
        <v>1</v>
      </c>
      <c r="M88" s="5" t="b">
        <v>0</v>
      </c>
      <c r="N88" s="5" t="s">
        <v>41</v>
      </c>
      <c r="O88" s="8">
        <f t="shared" si="0"/>
        <v>1.6763513513513513</v>
      </c>
      <c r="P88" s="9">
        <f t="shared" si="2"/>
        <v>61.108374384236456</v>
      </c>
      <c r="Q88" s="5" t="str" cm="1">
        <f t="array" ref="Q88:R88">_xlfn.TEXTSPLIT(N88,"/")</f>
        <v>theater</v>
      </c>
      <c r="R88" t="str">
        <v>plays</v>
      </c>
      <c r="S88" s="10">
        <f t="shared" ref="S88:T88" si="88">(((J88/60)/60)/24)+DATE(1970,1,1)</f>
        <v>42128.208333333328</v>
      </c>
      <c r="T88" s="10">
        <f t="shared" si="88"/>
        <v>42141.208333333328</v>
      </c>
    </row>
    <row r="89" spans="1:20" ht="15.75" customHeight="1" x14ac:dyDescent="0.25">
      <c r="A89" s="5">
        <v>87</v>
      </c>
      <c r="B89" s="6" t="s">
        <v>231</v>
      </c>
      <c r="C89" s="7" t="s">
        <v>232</v>
      </c>
      <c r="D89" s="5">
        <v>198500</v>
      </c>
      <c r="E89" s="5">
        <v>123040</v>
      </c>
      <c r="F89" s="5" t="s">
        <v>22</v>
      </c>
      <c r="G89" s="5">
        <v>1482</v>
      </c>
      <c r="H89" s="5" t="s">
        <v>34</v>
      </c>
      <c r="I89" s="5" t="s">
        <v>35</v>
      </c>
      <c r="J89" s="5">
        <v>1299564000</v>
      </c>
      <c r="K89" s="5">
        <v>1300510800</v>
      </c>
      <c r="L89" s="5" t="b">
        <v>0</v>
      </c>
      <c r="M89" s="5" t="b">
        <v>1</v>
      </c>
      <c r="N89" s="5" t="s">
        <v>31</v>
      </c>
      <c r="O89" s="8">
        <f t="shared" si="0"/>
        <v>0.6198488664987406</v>
      </c>
      <c r="P89" s="9">
        <f t="shared" si="2"/>
        <v>83.022941970310384</v>
      </c>
      <c r="Q89" s="5" t="str" cm="1">
        <f t="array" ref="Q89:R89">_xlfn.TEXTSPLIT(N89,"/")</f>
        <v>music</v>
      </c>
      <c r="R89" t="str">
        <v>rock</v>
      </c>
      <c r="S89" s="10">
        <f t="shared" ref="S89:T89" si="89">(((J89/60)/60)/24)+DATE(1970,1,1)</f>
        <v>40610.25</v>
      </c>
      <c r="T89" s="10">
        <f t="shared" si="89"/>
        <v>40621.208333333336</v>
      </c>
    </row>
    <row r="90" spans="1:20" ht="15.75" customHeight="1" x14ac:dyDescent="0.25">
      <c r="A90" s="5">
        <v>88</v>
      </c>
      <c r="B90" s="6" t="s">
        <v>233</v>
      </c>
      <c r="C90" s="7" t="s">
        <v>234</v>
      </c>
      <c r="D90" s="5">
        <v>4800</v>
      </c>
      <c r="E90" s="5">
        <v>12516</v>
      </c>
      <c r="F90" s="5" t="s">
        <v>28</v>
      </c>
      <c r="G90" s="5">
        <v>113</v>
      </c>
      <c r="H90" s="5" t="s">
        <v>29</v>
      </c>
      <c r="I90" s="5" t="s">
        <v>30</v>
      </c>
      <c r="J90" s="5">
        <v>1429160400</v>
      </c>
      <c r="K90" s="5">
        <v>1431061200</v>
      </c>
      <c r="L90" s="5" t="b">
        <v>0</v>
      </c>
      <c r="M90" s="5" t="b">
        <v>0</v>
      </c>
      <c r="N90" s="5" t="s">
        <v>214</v>
      </c>
      <c r="O90" s="8">
        <f t="shared" si="0"/>
        <v>2.6074999999999999</v>
      </c>
      <c r="P90" s="9">
        <f t="shared" si="2"/>
        <v>110.76106194690266</v>
      </c>
      <c r="Q90" s="5" t="str" cm="1">
        <f t="array" ref="Q90:R90">_xlfn.TEXTSPLIT(N90,"/")</f>
        <v>publishing</v>
      </c>
      <c r="R90" t="str">
        <v>translations</v>
      </c>
      <c r="S90" s="10">
        <f t="shared" ref="S90:T90" si="90">(((J90/60)/60)/24)+DATE(1970,1,1)</f>
        <v>42110.208333333328</v>
      </c>
      <c r="T90" s="10">
        <f t="shared" si="90"/>
        <v>42132.208333333328</v>
      </c>
    </row>
    <row r="91" spans="1:20" ht="15.75" customHeight="1" x14ac:dyDescent="0.25">
      <c r="A91" s="5">
        <v>89</v>
      </c>
      <c r="B91" s="6" t="s">
        <v>235</v>
      </c>
      <c r="C91" s="7" t="s">
        <v>236</v>
      </c>
      <c r="D91" s="5">
        <v>3400</v>
      </c>
      <c r="E91" s="5">
        <v>8588</v>
      </c>
      <c r="F91" s="5" t="s">
        <v>28</v>
      </c>
      <c r="G91" s="5">
        <v>96</v>
      </c>
      <c r="H91" s="5" t="s">
        <v>29</v>
      </c>
      <c r="I91" s="5" t="s">
        <v>30</v>
      </c>
      <c r="J91" s="5">
        <v>1271307600</v>
      </c>
      <c r="K91" s="5">
        <v>1271480400</v>
      </c>
      <c r="L91" s="5" t="b">
        <v>0</v>
      </c>
      <c r="M91" s="5" t="b">
        <v>0</v>
      </c>
      <c r="N91" s="5" t="s">
        <v>41</v>
      </c>
      <c r="O91" s="8">
        <f t="shared" si="0"/>
        <v>2.5258823529411765</v>
      </c>
      <c r="P91" s="9">
        <f t="shared" si="2"/>
        <v>89.458333333333329</v>
      </c>
      <c r="Q91" s="5" t="str" cm="1">
        <f t="array" ref="Q91:R91">_xlfn.TEXTSPLIT(N91,"/")</f>
        <v>theater</v>
      </c>
      <c r="R91" t="str">
        <v>plays</v>
      </c>
      <c r="S91" s="10">
        <f t="shared" ref="S91:T91" si="91">(((J91/60)/60)/24)+DATE(1970,1,1)</f>
        <v>40283.208333333336</v>
      </c>
      <c r="T91" s="10">
        <f t="shared" si="91"/>
        <v>40285.208333333336</v>
      </c>
    </row>
    <row r="92" spans="1:20" ht="15.75" customHeight="1" x14ac:dyDescent="0.25">
      <c r="A92" s="5">
        <v>90</v>
      </c>
      <c r="B92" s="6" t="s">
        <v>237</v>
      </c>
      <c r="C92" s="7" t="s">
        <v>238</v>
      </c>
      <c r="D92" s="5">
        <v>7800</v>
      </c>
      <c r="E92" s="5">
        <v>6132</v>
      </c>
      <c r="F92" s="5" t="s">
        <v>22</v>
      </c>
      <c r="G92" s="5">
        <v>106</v>
      </c>
      <c r="H92" s="5" t="s">
        <v>29</v>
      </c>
      <c r="I92" s="5" t="s">
        <v>30</v>
      </c>
      <c r="J92" s="5">
        <v>1456380000</v>
      </c>
      <c r="K92" s="5">
        <v>1456380000</v>
      </c>
      <c r="L92" s="5" t="b">
        <v>0</v>
      </c>
      <c r="M92" s="5" t="b">
        <v>1</v>
      </c>
      <c r="N92" s="5" t="s">
        <v>41</v>
      </c>
      <c r="O92" s="8">
        <f t="shared" si="0"/>
        <v>0.7861538461538462</v>
      </c>
      <c r="P92" s="9">
        <f t="shared" si="2"/>
        <v>57.849056603773583</v>
      </c>
      <c r="Q92" s="5" t="str" cm="1">
        <f t="array" ref="Q92:R92">_xlfn.TEXTSPLIT(N92,"/")</f>
        <v>theater</v>
      </c>
      <c r="R92" t="str">
        <v>plays</v>
      </c>
      <c r="S92" s="10">
        <f t="shared" ref="S92:T92" si="92">(((J92/60)/60)/24)+DATE(1970,1,1)</f>
        <v>42425.25</v>
      </c>
      <c r="T92" s="10">
        <f t="shared" si="92"/>
        <v>42425.25</v>
      </c>
    </row>
    <row r="93" spans="1:20" ht="15.75" customHeight="1" x14ac:dyDescent="0.25">
      <c r="A93" s="5">
        <v>91</v>
      </c>
      <c r="B93" s="6" t="s">
        <v>239</v>
      </c>
      <c r="C93" s="7" t="s">
        <v>240</v>
      </c>
      <c r="D93" s="5">
        <v>154300</v>
      </c>
      <c r="E93" s="5">
        <v>74688</v>
      </c>
      <c r="F93" s="5" t="s">
        <v>22</v>
      </c>
      <c r="G93" s="5">
        <v>679</v>
      </c>
      <c r="H93" s="5" t="s">
        <v>115</v>
      </c>
      <c r="I93" s="5" t="s">
        <v>116</v>
      </c>
      <c r="J93" s="5">
        <v>1470459600</v>
      </c>
      <c r="K93" s="5">
        <v>1472878800</v>
      </c>
      <c r="L93" s="5" t="b">
        <v>0</v>
      </c>
      <c r="M93" s="5" t="b">
        <v>0</v>
      </c>
      <c r="N93" s="5" t="s">
        <v>214</v>
      </c>
      <c r="O93" s="8">
        <f t="shared" si="0"/>
        <v>0.48404406999351912</v>
      </c>
      <c r="P93" s="9">
        <f t="shared" si="2"/>
        <v>109.99705449189985</v>
      </c>
      <c r="Q93" s="5" t="str" cm="1">
        <f t="array" ref="Q93:R93">_xlfn.TEXTSPLIT(N93,"/")</f>
        <v>publishing</v>
      </c>
      <c r="R93" t="str">
        <v>translations</v>
      </c>
      <c r="S93" s="10">
        <f t="shared" ref="S93:T93" si="93">(((J93/60)/60)/24)+DATE(1970,1,1)</f>
        <v>42588.208333333328</v>
      </c>
      <c r="T93" s="10">
        <f t="shared" si="93"/>
        <v>42616.208333333328</v>
      </c>
    </row>
    <row r="94" spans="1:20" ht="15.75" customHeight="1" x14ac:dyDescent="0.25">
      <c r="A94" s="5">
        <v>92</v>
      </c>
      <c r="B94" s="6" t="s">
        <v>241</v>
      </c>
      <c r="C94" s="7" t="s">
        <v>242</v>
      </c>
      <c r="D94" s="5">
        <v>20000</v>
      </c>
      <c r="E94" s="5">
        <v>51775</v>
      </c>
      <c r="F94" s="5" t="s">
        <v>28</v>
      </c>
      <c r="G94" s="5">
        <v>498</v>
      </c>
      <c r="H94" s="5" t="s">
        <v>106</v>
      </c>
      <c r="I94" s="5" t="s">
        <v>107</v>
      </c>
      <c r="J94" s="5">
        <v>1277269200</v>
      </c>
      <c r="K94" s="5">
        <v>1277355600</v>
      </c>
      <c r="L94" s="5" t="b">
        <v>0</v>
      </c>
      <c r="M94" s="5" t="b">
        <v>1</v>
      </c>
      <c r="N94" s="5" t="s">
        <v>97</v>
      </c>
      <c r="O94" s="8">
        <f t="shared" si="0"/>
        <v>2.5887500000000001</v>
      </c>
      <c r="P94" s="9">
        <f t="shared" si="2"/>
        <v>103.96586345381526</v>
      </c>
      <c r="Q94" s="5" t="str" cm="1">
        <f t="array" ref="Q94:R94">_xlfn.TEXTSPLIT(N94,"/")</f>
        <v>games</v>
      </c>
      <c r="R94" t="str">
        <v>video games</v>
      </c>
      <c r="S94" s="10">
        <f t="shared" ref="S94:T94" si="94">(((J94/60)/60)/24)+DATE(1970,1,1)</f>
        <v>40352.208333333336</v>
      </c>
      <c r="T94" s="10">
        <f t="shared" si="94"/>
        <v>40353.208333333336</v>
      </c>
    </row>
    <row r="95" spans="1:20" ht="15.75" customHeight="1" x14ac:dyDescent="0.25">
      <c r="A95" s="5">
        <v>93</v>
      </c>
      <c r="B95" s="6" t="s">
        <v>243</v>
      </c>
      <c r="C95" s="7" t="s">
        <v>244</v>
      </c>
      <c r="D95" s="5">
        <v>108800</v>
      </c>
      <c r="E95" s="5">
        <v>65877</v>
      </c>
      <c r="F95" s="5" t="s">
        <v>82</v>
      </c>
      <c r="G95" s="5">
        <v>610</v>
      </c>
      <c r="H95" s="5" t="s">
        <v>29</v>
      </c>
      <c r="I95" s="5" t="s">
        <v>30</v>
      </c>
      <c r="J95" s="5">
        <v>1350709200</v>
      </c>
      <c r="K95" s="5">
        <v>1351054800</v>
      </c>
      <c r="L95" s="5" t="b">
        <v>0</v>
      </c>
      <c r="M95" s="5" t="b">
        <v>1</v>
      </c>
      <c r="N95" s="5" t="s">
        <v>41</v>
      </c>
      <c r="O95" s="8">
        <f t="shared" si="0"/>
        <v>0.60548713235294116</v>
      </c>
      <c r="P95" s="9">
        <f t="shared" si="2"/>
        <v>107.99508196721311</v>
      </c>
      <c r="Q95" s="5" t="str" cm="1">
        <f t="array" ref="Q95:R95">_xlfn.TEXTSPLIT(N95,"/")</f>
        <v>theater</v>
      </c>
      <c r="R95" t="str">
        <v>plays</v>
      </c>
      <c r="S95" s="10">
        <f t="shared" ref="S95:T95" si="95">(((J95/60)/60)/24)+DATE(1970,1,1)</f>
        <v>41202.208333333336</v>
      </c>
      <c r="T95" s="10">
        <f t="shared" si="95"/>
        <v>41206.208333333336</v>
      </c>
    </row>
    <row r="96" spans="1:20" ht="15.75" customHeight="1" x14ac:dyDescent="0.25">
      <c r="A96" s="5">
        <v>94</v>
      </c>
      <c r="B96" s="6" t="s">
        <v>245</v>
      </c>
      <c r="C96" s="7" t="s">
        <v>246</v>
      </c>
      <c r="D96" s="5">
        <v>2900</v>
      </c>
      <c r="E96" s="5">
        <v>8807</v>
      </c>
      <c r="F96" s="5" t="s">
        <v>28</v>
      </c>
      <c r="G96" s="5">
        <v>180</v>
      </c>
      <c r="H96" s="5" t="s">
        <v>48</v>
      </c>
      <c r="I96" s="5" t="s">
        <v>49</v>
      </c>
      <c r="J96" s="5">
        <v>1554613200</v>
      </c>
      <c r="K96" s="5">
        <v>1555563600</v>
      </c>
      <c r="L96" s="5" t="b">
        <v>0</v>
      </c>
      <c r="M96" s="5" t="b">
        <v>0</v>
      </c>
      <c r="N96" s="5" t="s">
        <v>36</v>
      </c>
      <c r="O96" s="8">
        <f t="shared" si="0"/>
        <v>3.036896551724138</v>
      </c>
      <c r="P96" s="9">
        <f t="shared" si="2"/>
        <v>48.927777777777777</v>
      </c>
      <c r="Q96" s="5" t="str" cm="1">
        <f t="array" ref="Q96:R96">_xlfn.TEXTSPLIT(N96,"/")</f>
        <v>technology</v>
      </c>
      <c r="R96" t="str">
        <v>web</v>
      </c>
      <c r="S96" s="10">
        <f t="shared" ref="S96:T96" si="96">(((J96/60)/60)/24)+DATE(1970,1,1)</f>
        <v>43562.208333333328</v>
      </c>
      <c r="T96" s="10">
        <f t="shared" si="96"/>
        <v>43573.208333333328</v>
      </c>
    </row>
    <row r="97" spans="1:20" ht="15.75" customHeight="1" x14ac:dyDescent="0.25">
      <c r="A97" s="5">
        <v>95</v>
      </c>
      <c r="B97" s="6" t="s">
        <v>247</v>
      </c>
      <c r="C97" s="7" t="s">
        <v>248</v>
      </c>
      <c r="D97" s="5">
        <v>900</v>
      </c>
      <c r="E97" s="5">
        <v>1017</v>
      </c>
      <c r="F97" s="5" t="s">
        <v>28</v>
      </c>
      <c r="G97" s="5">
        <v>27</v>
      </c>
      <c r="H97" s="5" t="s">
        <v>29</v>
      </c>
      <c r="I97" s="5" t="s">
        <v>30</v>
      </c>
      <c r="J97" s="5">
        <v>1571029200</v>
      </c>
      <c r="K97" s="5">
        <v>1571634000</v>
      </c>
      <c r="L97" s="5" t="b">
        <v>0</v>
      </c>
      <c r="M97" s="5" t="b">
        <v>0</v>
      </c>
      <c r="N97" s="5" t="s">
        <v>50</v>
      </c>
      <c r="O97" s="8">
        <f t="shared" si="0"/>
        <v>1.1299999999999999</v>
      </c>
      <c r="P97" s="9">
        <f t="shared" si="2"/>
        <v>37.666666666666664</v>
      </c>
      <c r="Q97" s="5" t="str" cm="1">
        <f t="array" ref="Q97:R97">_xlfn.TEXTSPLIT(N97,"/")</f>
        <v>film &amp; video</v>
      </c>
      <c r="R97" t="str">
        <v>documentary</v>
      </c>
      <c r="S97" s="10">
        <f t="shared" ref="S97:T97" si="97">(((J97/60)/60)/24)+DATE(1970,1,1)</f>
        <v>43752.208333333328</v>
      </c>
      <c r="T97" s="10">
        <f t="shared" si="97"/>
        <v>43759.208333333328</v>
      </c>
    </row>
    <row r="98" spans="1:20" ht="15.75" customHeight="1" x14ac:dyDescent="0.25">
      <c r="A98" s="5">
        <v>96</v>
      </c>
      <c r="B98" s="6" t="s">
        <v>249</v>
      </c>
      <c r="C98" s="7" t="s">
        <v>250</v>
      </c>
      <c r="D98" s="5">
        <v>69700</v>
      </c>
      <c r="E98" s="5">
        <v>151513</v>
      </c>
      <c r="F98" s="5" t="s">
        <v>28</v>
      </c>
      <c r="G98" s="5">
        <v>2331</v>
      </c>
      <c r="H98" s="5" t="s">
        <v>29</v>
      </c>
      <c r="I98" s="5" t="s">
        <v>30</v>
      </c>
      <c r="J98" s="5">
        <v>1299736800</v>
      </c>
      <c r="K98" s="5">
        <v>1300856400</v>
      </c>
      <c r="L98" s="5" t="b">
        <v>0</v>
      </c>
      <c r="M98" s="5" t="b">
        <v>0</v>
      </c>
      <c r="N98" s="5" t="s">
        <v>41</v>
      </c>
      <c r="O98" s="8">
        <f t="shared" si="0"/>
        <v>2.1737876614060259</v>
      </c>
      <c r="P98" s="9">
        <f t="shared" si="2"/>
        <v>64.999141999141997</v>
      </c>
      <c r="Q98" s="5" t="str" cm="1">
        <f t="array" ref="Q98:R98">_xlfn.TEXTSPLIT(N98,"/")</f>
        <v>theater</v>
      </c>
      <c r="R98" t="str">
        <v>plays</v>
      </c>
      <c r="S98" s="10">
        <f t="shared" ref="S98:T98" si="98">(((J98/60)/60)/24)+DATE(1970,1,1)</f>
        <v>40612.25</v>
      </c>
      <c r="T98" s="10">
        <f t="shared" si="98"/>
        <v>40625.208333333336</v>
      </c>
    </row>
    <row r="99" spans="1:20" ht="15.75" customHeight="1" x14ac:dyDescent="0.25">
      <c r="A99" s="5">
        <v>97</v>
      </c>
      <c r="B99" s="6" t="s">
        <v>251</v>
      </c>
      <c r="C99" s="7" t="s">
        <v>252</v>
      </c>
      <c r="D99" s="5">
        <v>1300</v>
      </c>
      <c r="E99" s="5">
        <v>12047</v>
      </c>
      <c r="F99" s="5" t="s">
        <v>28</v>
      </c>
      <c r="G99" s="5">
        <v>113</v>
      </c>
      <c r="H99" s="5" t="s">
        <v>29</v>
      </c>
      <c r="I99" s="5" t="s">
        <v>30</v>
      </c>
      <c r="J99" s="5">
        <v>1435208400</v>
      </c>
      <c r="K99" s="5">
        <v>1439874000</v>
      </c>
      <c r="L99" s="5" t="b">
        <v>0</v>
      </c>
      <c r="M99" s="5" t="b">
        <v>0</v>
      </c>
      <c r="N99" s="5" t="s">
        <v>25</v>
      </c>
      <c r="O99" s="8">
        <f t="shared" si="0"/>
        <v>9.2669230769230762</v>
      </c>
      <c r="P99" s="9">
        <f t="shared" si="2"/>
        <v>106.61061946902655</v>
      </c>
      <c r="Q99" s="5" t="str" cm="1">
        <f t="array" ref="Q99:R99">_xlfn.TEXTSPLIT(N99,"/")</f>
        <v>food</v>
      </c>
      <c r="R99" t="str">
        <v>food trucks</v>
      </c>
      <c r="S99" s="10">
        <f t="shared" ref="S99:T99" si="99">(((J99/60)/60)/24)+DATE(1970,1,1)</f>
        <v>42180.208333333328</v>
      </c>
      <c r="T99" s="10">
        <f t="shared" si="99"/>
        <v>42234.208333333328</v>
      </c>
    </row>
    <row r="100" spans="1:20" ht="15.75" customHeight="1" x14ac:dyDescent="0.25">
      <c r="A100" s="5">
        <v>98</v>
      </c>
      <c r="B100" s="6" t="s">
        <v>253</v>
      </c>
      <c r="C100" s="7" t="s">
        <v>254</v>
      </c>
      <c r="D100" s="5">
        <v>97800</v>
      </c>
      <c r="E100" s="5">
        <v>32951</v>
      </c>
      <c r="F100" s="5" t="s">
        <v>22</v>
      </c>
      <c r="G100" s="5">
        <v>1220</v>
      </c>
      <c r="H100" s="5" t="s">
        <v>34</v>
      </c>
      <c r="I100" s="5" t="s">
        <v>35</v>
      </c>
      <c r="J100" s="5">
        <v>1437973200</v>
      </c>
      <c r="K100" s="5">
        <v>1438318800</v>
      </c>
      <c r="L100" s="5" t="b">
        <v>0</v>
      </c>
      <c r="M100" s="5" t="b">
        <v>0</v>
      </c>
      <c r="N100" s="5" t="s">
        <v>97</v>
      </c>
      <c r="O100" s="8">
        <f t="shared" si="0"/>
        <v>0.33692229038854804</v>
      </c>
      <c r="P100" s="9">
        <f t="shared" si="2"/>
        <v>27.009016393442622</v>
      </c>
      <c r="Q100" s="5" t="str" cm="1">
        <f t="array" ref="Q100:R100">_xlfn.TEXTSPLIT(N100,"/")</f>
        <v>games</v>
      </c>
      <c r="R100" t="str">
        <v>video games</v>
      </c>
      <c r="S100" s="10">
        <f t="shared" ref="S100:T100" si="100">(((J100/60)/60)/24)+DATE(1970,1,1)</f>
        <v>42212.208333333328</v>
      </c>
      <c r="T100" s="10">
        <f t="shared" si="100"/>
        <v>42216.208333333328</v>
      </c>
    </row>
    <row r="101" spans="1:20" ht="15.75" customHeight="1" x14ac:dyDescent="0.25">
      <c r="A101" s="5">
        <v>99</v>
      </c>
      <c r="B101" s="6" t="s">
        <v>255</v>
      </c>
      <c r="C101" s="7" t="s">
        <v>256</v>
      </c>
      <c r="D101" s="5">
        <v>7600</v>
      </c>
      <c r="E101" s="5">
        <v>14951</v>
      </c>
      <c r="F101" s="5" t="s">
        <v>28</v>
      </c>
      <c r="G101" s="5">
        <v>164</v>
      </c>
      <c r="H101" s="5" t="s">
        <v>29</v>
      </c>
      <c r="I101" s="5" t="s">
        <v>30</v>
      </c>
      <c r="J101" s="5">
        <v>1416895200</v>
      </c>
      <c r="K101" s="5">
        <v>1419400800</v>
      </c>
      <c r="L101" s="5" t="b">
        <v>0</v>
      </c>
      <c r="M101" s="5" t="b">
        <v>0</v>
      </c>
      <c r="N101" s="5" t="s">
        <v>41</v>
      </c>
      <c r="O101" s="8">
        <f t="shared" si="0"/>
        <v>1.9672368421052631</v>
      </c>
      <c r="P101" s="9">
        <f t="shared" si="2"/>
        <v>91.16463414634147</v>
      </c>
      <c r="Q101" s="5" t="str" cm="1">
        <f t="array" ref="Q101:R101">_xlfn.TEXTSPLIT(N101,"/")</f>
        <v>theater</v>
      </c>
      <c r="R101" t="str">
        <v>plays</v>
      </c>
      <c r="S101" s="10">
        <f t="shared" ref="S101:T101" si="101">(((J101/60)/60)/24)+DATE(1970,1,1)</f>
        <v>41968.25</v>
      </c>
      <c r="T101" s="10">
        <f t="shared" si="101"/>
        <v>41997.25</v>
      </c>
    </row>
    <row r="102" spans="1:20" ht="15.75" customHeight="1" x14ac:dyDescent="0.25">
      <c r="A102" s="5">
        <v>100</v>
      </c>
      <c r="B102" s="6" t="s">
        <v>257</v>
      </c>
      <c r="C102" s="7" t="s">
        <v>258</v>
      </c>
      <c r="D102" s="5">
        <v>100</v>
      </c>
      <c r="E102" s="5">
        <v>1</v>
      </c>
      <c r="F102" s="5" t="s">
        <v>22</v>
      </c>
      <c r="G102" s="5">
        <v>1</v>
      </c>
      <c r="H102" s="5" t="s">
        <v>29</v>
      </c>
      <c r="I102" s="5" t="s">
        <v>30</v>
      </c>
      <c r="J102" s="5">
        <v>1319000400</v>
      </c>
      <c r="K102" s="5">
        <v>1320555600</v>
      </c>
      <c r="L102" s="5" t="b">
        <v>0</v>
      </c>
      <c r="M102" s="5" t="b">
        <v>0</v>
      </c>
      <c r="N102" s="5" t="s">
        <v>41</v>
      </c>
      <c r="O102" s="8">
        <f t="shared" si="0"/>
        <v>0.01</v>
      </c>
      <c r="P102" s="9">
        <f t="shared" si="2"/>
        <v>1</v>
      </c>
      <c r="Q102" s="5" t="str" cm="1">
        <f t="array" ref="Q102:R102">_xlfn.TEXTSPLIT(N102,"/")</f>
        <v>theater</v>
      </c>
      <c r="R102" t="str">
        <v>plays</v>
      </c>
      <c r="S102" s="10">
        <f t="shared" ref="S102:T102" si="102">(((J102/60)/60)/24)+DATE(1970,1,1)</f>
        <v>40835.208333333336</v>
      </c>
      <c r="T102" s="10">
        <f t="shared" si="102"/>
        <v>40853.208333333336</v>
      </c>
    </row>
    <row r="103" spans="1:20" ht="15.75" customHeight="1" x14ac:dyDescent="0.25">
      <c r="A103" s="5">
        <v>101</v>
      </c>
      <c r="B103" s="6" t="s">
        <v>259</v>
      </c>
      <c r="C103" s="7" t="s">
        <v>260</v>
      </c>
      <c r="D103" s="5">
        <v>900</v>
      </c>
      <c r="E103" s="5">
        <v>9193</v>
      </c>
      <c r="F103" s="5" t="s">
        <v>28</v>
      </c>
      <c r="G103" s="5">
        <v>164</v>
      </c>
      <c r="H103" s="5" t="s">
        <v>29</v>
      </c>
      <c r="I103" s="5" t="s">
        <v>30</v>
      </c>
      <c r="J103" s="5">
        <v>1424498400</v>
      </c>
      <c r="K103" s="5">
        <v>1425103200</v>
      </c>
      <c r="L103" s="5" t="b">
        <v>0</v>
      </c>
      <c r="M103" s="5" t="b">
        <v>1</v>
      </c>
      <c r="N103" s="5" t="s">
        <v>58</v>
      </c>
      <c r="O103" s="8">
        <f t="shared" si="0"/>
        <v>10.214444444444444</v>
      </c>
      <c r="P103" s="9">
        <f t="shared" si="2"/>
        <v>56.054878048780488</v>
      </c>
      <c r="Q103" s="5" t="str" cm="1">
        <f t="array" ref="Q103:R103">_xlfn.TEXTSPLIT(N103,"/")</f>
        <v>music</v>
      </c>
      <c r="R103" t="str">
        <v>electric music</v>
      </c>
      <c r="S103" s="10">
        <f t="shared" ref="S103:T103" si="103">(((J103/60)/60)/24)+DATE(1970,1,1)</f>
        <v>42056.25</v>
      </c>
      <c r="T103" s="10">
        <f t="shared" si="103"/>
        <v>42063.25</v>
      </c>
    </row>
    <row r="104" spans="1:20" ht="15.75" customHeight="1" x14ac:dyDescent="0.25">
      <c r="A104" s="5">
        <v>102</v>
      </c>
      <c r="B104" s="6" t="s">
        <v>261</v>
      </c>
      <c r="C104" s="7" t="s">
        <v>262</v>
      </c>
      <c r="D104" s="5">
        <v>3700</v>
      </c>
      <c r="E104" s="5">
        <v>10422</v>
      </c>
      <c r="F104" s="5" t="s">
        <v>28</v>
      </c>
      <c r="G104" s="5">
        <v>336</v>
      </c>
      <c r="H104" s="5" t="s">
        <v>29</v>
      </c>
      <c r="I104" s="5" t="s">
        <v>30</v>
      </c>
      <c r="J104" s="5">
        <v>1526274000</v>
      </c>
      <c r="K104" s="5">
        <v>1526878800</v>
      </c>
      <c r="L104" s="5" t="b">
        <v>0</v>
      </c>
      <c r="M104" s="5" t="b">
        <v>1</v>
      </c>
      <c r="N104" s="5" t="s">
        <v>73</v>
      </c>
      <c r="O104" s="8">
        <f t="shared" si="0"/>
        <v>2.8167567567567566</v>
      </c>
      <c r="P104" s="9">
        <f t="shared" si="2"/>
        <v>31.017857142857142</v>
      </c>
      <c r="Q104" s="5" t="str" cm="1">
        <f t="array" ref="Q104:R104">_xlfn.TEXTSPLIT(N104,"/")</f>
        <v>technology</v>
      </c>
      <c r="R104" t="str">
        <v>wearables</v>
      </c>
      <c r="S104" s="10">
        <f t="shared" ref="S104:T104" si="104">(((J104/60)/60)/24)+DATE(1970,1,1)</f>
        <v>43234.208333333328</v>
      </c>
      <c r="T104" s="10">
        <f t="shared" si="104"/>
        <v>43241.208333333328</v>
      </c>
    </row>
    <row r="105" spans="1:20" ht="15.75" customHeight="1" x14ac:dyDescent="0.25">
      <c r="A105" s="5">
        <v>103</v>
      </c>
      <c r="B105" s="6" t="s">
        <v>263</v>
      </c>
      <c r="C105" s="7" t="s">
        <v>264</v>
      </c>
      <c r="D105" s="5">
        <v>10000</v>
      </c>
      <c r="E105" s="5">
        <v>2461</v>
      </c>
      <c r="F105" s="5" t="s">
        <v>22</v>
      </c>
      <c r="G105" s="5">
        <v>37</v>
      </c>
      <c r="H105" s="5" t="s">
        <v>115</v>
      </c>
      <c r="I105" s="5" t="s">
        <v>116</v>
      </c>
      <c r="J105" s="5">
        <v>1287896400</v>
      </c>
      <c r="K105" s="5">
        <v>1288674000</v>
      </c>
      <c r="L105" s="5" t="b">
        <v>0</v>
      </c>
      <c r="M105" s="5" t="b">
        <v>0</v>
      </c>
      <c r="N105" s="5" t="s">
        <v>58</v>
      </c>
      <c r="O105" s="8">
        <f t="shared" si="0"/>
        <v>0.24610000000000001</v>
      </c>
      <c r="P105" s="9">
        <f t="shared" si="2"/>
        <v>66.513513513513516</v>
      </c>
      <c r="Q105" s="5" t="str" cm="1">
        <f t="array" ref="Q105:R105">_xlfn.TEXTSPLIT(N105,"/")</f>
        <v>music</v>
      </c>
      <c r="R105" t="str">
        <v>electric music</v>
      </c>
      <c r="S105" s="10">
        <f t="shared" ref="S105:T105" si="105">(((J105/60)/60)/24)+DATE(1970,1,1)</f>
        <v>40475.208333333336</v>
      </c>
      <c r="T105" s="10">
        <f t="shared" si="105"/>
        <v>40484.208333333336</v>
      </c>
    </row>
    <row r="106" spans="1:20" ht="15.75" customHeight="1" x14ac:dyDescent="0.25">
      <c r="A106" s="5">
        <v>104</v>
      </c>
      <c r="B106" s="6" t="s">
        <v>265</v>
      </c>
      <c r="C106" s="7" t="s">
        <v>266</v>
      </c>
      <c r="D106" s="5">
        <v>119200</v>
      </c>
      <c r="E106" s="5">
        <v>170623</v>
      </c>
      <c r="F106" s="5" t="s">
        <v>28</v>
      </c>
      <c r="G106" s="5">
        <v>1917</v>
      </c>
      <c r="H106" s="5" t="s">
        <v>29</v>
      </c>
      <c r="I106" s="5" t="s">
        <v>30</v>
      </c>
      <c r="J106" s="5">
        <v>1495515600</v>
      </c>
      <c r="K106" s="5">
        <v>1495602000</v>
      </c>
      <c r="L106" s="5" t="b">
        <v>0</v>
      </c>
      <c r="M106" s="5" t="b">
        <v>0</v>
      </c>
      <c r="N106" s="5" t="s">
        <v>68</v>
      </c>
      <c r="O106" s="8">
        <f t="shared" si="0"/>
        <v>1.4314010067114094</v>
      </c>
      <c r="P106" s="9">
        <f t="shared" si="2"/>
        <v>89.005216484089729</v>
      </c>
      <c r="Q106" s="5" t="str" cm="1">
        <f t="array" ref="Q106:R106">_xlfn.TEXTSPLIT(N106,"/")</f>
        <v>music</v>
      </c>
      <c r="R106" t="str">
        <v>indie rock</v>
      </c>
      <c r="S106" s="10">
        <f t="shared" ref="S106:T106" si="106">(((J106/60)/60)/24)+DATE(1970,1,1)</f>
        <v>42878.208333333328</v>
      </c>
      <c r="T106" s="10">
        <f t="shared" si="106"/>
        <v>42879.208333333328</v>
      </c>
    </row>
    <row r="107" spans="1:20" ht="15.75" customHeight="1" x14ac:dyDescent="0.25">
      <c r="A107" s="5">
        <v>105</v>
      </c>
      <c r="B107" s="6" t="s">
        <v>267</v>
      </c>
      <c r="C107" s="7" t="s">
        <v>268</v>
      </c>
      <c r="D107" s="5">
        <v>6800</v>
      </c>
      <c r="E107" s="5">
        <v>9829</v>
      </c>
      <c r="F107" s="5" t="s">
        <v>28</v>
      </c>
      <c r="G107" s="5">
        <v>95</v>
      </c>
      <c r="H107" s="5" t="s">
        <v>29</v>
      </c>
      <c r="I107" s="5" t="s">
        <v>30</v>
      </c>
      <c r="J107" s="5">
        <v>1364878800</v>
      </c>
      <c r="K107" s="5">
        <v>1366434000</v>
      </c>
      <c r="L107" s="5" t="b">
        <v>0</v>
      </c>
      <c r="M107" s="5" t="b">
        <v>0</v>
      </c>
      <c r="N107" s="5" t="s">
        <v>36</v>
      </c>
      <c r="O107" s="8">
        <f t="shared" si="0"/>
        <v>1.4454411764705883</v>
      </c>
      <c r="P107" s="9">
        <f t="shared" si="2"/>
        <v>103.46315789473684</v>
      </c>
      <c r="Q107" s="5" t="str" cm="1">
        <f t="array" ref="Q107:R107">_xlfn.TEXTSPLIT(N107,"/")</f>
        <v>technology</v>
      </c>
      <c r="R107" t="str">
        <v>web</v>
      </c>
      <c r="S107" s="10">
        <f t="shared" ref="S107:T107" si="107">(((J107/60)/60)/24)+DATE(1970,1,1)</f>
        <v>41366.208333333336</v>
      </c>
      <c r="T107" s="10">
        <f t="shared" si="107"/>
        <v>41384.208333333336</v>
      </c>
    </row>
    <row r="108" spans="1:20" ht="15.75" customHeight="1" x14ac:dyDescent="0.25">
      <c r="A108" s="5">
        <v>106</v>
      </c>
      <c r="B108" s="6" t="s">
        <v>269</v>
      </c>
      <c r="C108" s="7" t="s">
        <v>270</v>
      </c>
      <c r="D108" s="5">
        <v>3900</v>
      </c>
      <c r="E108" s="5">
        <v>14006</v>
      </c>
      <c r="F108" s="5" t="s">
        <v>28</v>
      </c>
      <c r="G108" s="5">
        <v>147</v>
      </c>
      <c r="H108" s="5" t="s">
        <v>29</v>
      </c>
      <c r="I108" s="5" t="s">
        <v>30</v>
      </c>
      <c r="J108" s="5">
        <v>1567918800</v>
      </c>
      <c r="K108" s="5">
        <v>1568350800</v>
      </c>
      <c r="L108" s="5" t="b">
        <v>0</v>
      </c>
      <c r="M108" s="5" t="b">
        <v>0</v>
      </c>
      <c r="N108" s="5" t="s">
        <v>41</v>
      </c>
      <c r="O108" s="8">
        <f t="shared" si="0"/>
        <v>3.5912820512820511</v>
      </c>
      <c r="P108" s="9">
        <f t="shared" si="2"/>
        <v>95.278911564625844</v>
      </c>
      <c r="Q108" s="5" t="str" cm="1">
        <f t="array" ref="Q108:R108">_xlfn.TEXTSPLIT(N108,"/")</f>
        <v>theater</v>
      </c>
      <c r="R108" t="str">
        <v>plays</v>
      </c>
      <c r="S108" s="10">
        <f t="shared" ref="S108:T108" si="108">(((J108/60)/60)/24)+DATE(1970,1,1)</f>
        <v>43716.208333333328</v>
      </c>
      <c r="T108" s="10">
        <f t="shared" si="108"/>
        <v>43721.208333333328</v>
      </c>
    </row>
    <row r="109" spans="1:20" ht="15.75" customHeight="1" x14ac:dyDescent="0.25">
      <c r="A109" s="5">
        <v>107</v>
      </c>
      <c r="B109" s="6" t="s">
        <v>271</v>
      </c>
      <c r="C109" s="7" t="s">
        <v>272</v>
      </c>
      <c r="D109" s="5">
        <v>3500</v>
      </c>
      <c r="E109" s="5">
        <v>6527</v>
      </c>
      <c r="F109" s="5" t="s">
        <v>28</v>
      </c>
      <c r="G109" s="5">
        <v>86</v>
      </c>
      <c r="H109" s="5" t="s">
        <v>29</v>
      </c>
      <c r="I109" s="5" t="s">
        <v>30</v>
      </c>
      <c r="J109" s="5">
        <v>1524459600</v>
      </c>
      <c r="K109" s="5">
        <v>1525928400</v>
      </c>
      <c r="L109" s="5" t="b">
        <v>0</v>
      </c>
      <c r="M109" s="5" t="b">
        <v>1</v>
      </c>
      <c r="N109" s="5" t="s">
        <v>41</v>
      </c>
      <c r="O109" s="8">
        <f t="shared" si="0"/>
        <v>1.8648571428571428</v>
      </c>
      <c r="P109" s="9">
        <f t="shared" si="2"/>
        <v>75.895348837209298</v>
      </c>
      <c r="Q109" s="5" t="str" cm="1">
        <f t="array" ref="Q109:R109">_xlfn.TEXTSPLIT(N109,"/")</f>
        <v>theater</v>
      </c>
      <c r="R109" t="str">
        <v>plays</v>
      </c>
      <c r="S109" s="10">
        <f t="shared" ref="S109:T109" si="109">(((J109/60)/60)/24)+DATE(1970,1,1)</f>
        <v>43213.208333333328</v>
      </c>
      <c r="T109" s="10">
        <f t="shared" si="109"/>
        <v>43230.208333333328</v>
      </c>
    </row>
    <row r="110" spans="1:20" ht="15.75" customHeight="1" x14ac:dyDescent="0.25">
      <c r="A110" s="5">
        <v>108</v>
      </c>
      <c r="B110" s="6" t="s">
        <v>273</v>
      </c>
      <c r="C110" s="7" t="s">
        <v>274</v>
      </c>
      <c r="D110" s="5">
        <v>1500</v>
      </c>
      <c r="E110" s="5">
        <v>8929</v>
      </c>
      <c r="F110" s="5" t="s">
        <v>28</v>
      </c>
      <c r="G110" s="5">
        <v>83</v>
      </c>
      <c r="H110" s="5" t="s">
        <v>29</v>
      </c>
      <c r="I110" s="5" t="s">
        <v>30</v>
      </c>
      <c r="J110" s="5">
        <v>1333688400</v>
      </c>
      <c r="K110" s="5">
        <v>1336885200</v>
      </c>
      <c r="L110" s="5" t="b">
        <v>0</v>
      </c>
      <c r="M110" s="5" t="b">
        <v>0</v>
      </c>
      <c r="N110" s="5" t="s">
        <v>50</v>
      </c>
      <c r="O110" s="8">
        <f t="shared" si="0"/>
        <v>5.9526666666666666</v>
      </c>
      <c r="P110" s="9">
        <f t="shared" si="2"/>
        <v>107.57831325301204</v>
      </c>
      <c r="Q110" s="5" t="str" cm="1">
        <f t="array" ref="Q110:R110">_xlfn.TEXTSPLIT(N110,"/")</f>
        <v>film &amp; video</v>
      </c>
      <c r="R110" t="str">
        <v>documentary</v>
      </c>
      <c r="S110" s="10">
        <f t="shared" ref="S110:T110" si="110">(((J110/60)/60)/24)+DATE(1970,1,1)</f>
        <v>41005.208333333336</v>
      </c>
      <c r="T110" s="10">
        <f t="shared" si="110"/>
        <v>41042.208333333336</v>
      </c>
    </row>
    <row r="111" spans="1:20" ht="15.75" customHeight="1" x14ac:dyDescent="0.25">
      <c r="A111" s="5">
        <v>109</v>
      </c>
      <c r="B111" s="6" t="s">
        <v>275</v>
      </c>
      <c r="C111" s="7" t="s">
        <v>276</v>
      </c>
      <c r="D111" s="5">
        <v>5200</v>
      </c>
      <c r="E111" s="5">
        <v>3079</v>
      </c>
      <c r="F111" s="5" t="s">
        <v>22</v>
      </c>
      <c r="G111" s="5">
        <v>60</v>
      </c>
      <c r="H111" s="5" t="s">
        <v>29</v>
      </c>
      <c r="I111" s="5" t="s">
        <v>30</v>
      </c>
      <c r="J111" s="5">
        <v>1389506400</v>
      </c>
      <c r="K111" s="5">
        <v>1389679200</v>
      </c>
      <c r="L111" s="5" t="b">
        <v>0</v>
      </c>
      <c r="M111" s="5" t="b">
        <v>0</v>
      </c>
      <c r="N111" s="5" t="s">
        <v>277</v>
      </c>
      <c r="O111" s="8">
        <f t="shared" si="0"/>
        <v>0.5921153846153846</v>
      </c>
      <c r="P111" s="9">
        <f t="shared" si="2"/>
        <v>51.31666666666667</v>
      </c>
      <c r="Q111" s="5" t="str" cm="1">
        <f t="array" ref="Q111:R111">_xlfn.TEXTSPLIT(N111,"/")</f>
        <v>film &amp; video</v>
      </c>
      <c r="R111" t="str">
        <v>television</v>
      </c>
      <c r="S111" s="10">
        <f t="shared" ref="S111:T111" si="111">(((J111/60)/60)/24)+DATE(1970,1,1)</f>
        <v>41651.25</v>
      </c>
      <c r="T111" s="10">
        <f t="shared" si="111"/>
        <v>41653.25</v>
      </c>
    </row>
    <row r="112" spans="1:20" ht="15.75" customHeight="1" x14ac:dyDescent="0.25">
      <c r="A112" s="5">
        <v>110</v>
      </c>
      <c r="B112" s="6" t="s">
        <v>278</v>
      </c>
      <c r="C112" s="7" t="s">
        <v>279</v>
      </c>
      <c r="D112" s="5">
        <v>142400</v>
      </c>
      <c r="E112" s="5">
        <v>21307</v>
      </c>
      <c r="F112" s="5" t="s">
        <v>22</v>
      </c>
      <c r="G112" s="5">
        <v>296</v>
      </c>
      <c r="H112" s="5" t="s">
        <v>29</v>
      </c>
      <c r="I112" s="5" t="s">
        <v>30</v>
      </c>
      <c r="J112" s="5">
        <v>1536642000</v>
      </c>
      <c r="K112" s="5">
        <v>1538283600</v>
      </c>
      <c r="L112" s="5" t="b">
        <v>0</v>
      </c>
      <c r="M112" s="5" t="b">
        <v>0</v>
      </c>
      <c r="N112" s="5" t="s">
        <v>25</v>
      </c>
      <c r="O112" s="8">
        <f t="shared" si="0"/>
        <v>0.14962780898876404</v>
      </c>
      <c r="P112" s="9">
        <f t="shared" si="2"/>
        <v>71.983108108108112</v>
      </c>
      <c r="Q112" s="5" t="str" cm="1">
        <f t="array" ref="Q112:R112">_xlfn.TEXTSPLIT(N112,"/")</f>
        <v>food</v>
      </c>
      <c r="R112" t="str">
        <v>food trucks</v>
      </c>
      <c r="S112" s="10">
        <f t="shared" ref="S112:T112" si="112">(((J112/60)/60)/24)+DATE(1970,1,1)</f>
        <v>43354.208333333328</v>
      </c>
      <c r="T112" s="10">
        <f t="shared" si="112"/>
        <v>43373.208333333328</v>
      </c>
    </row>
    <row r="113" spans="1:20" ht="15.75" customHeight="1" x14ac:dyDescent="0.25">
      <c r="A113" s="5">
        <v>111</v>
      </c>
      <c r="B113" s="6" t="s">
        <v>280</v>
      </c>
      <c r="C113" s="7" t="s">
        <v>281</v>
      </c>
      <c r="D113" s="5">
        <v>61400</v>
      </c>
      <c r="E113" s="5">
        <v>73653</v>
      </c>
      <c r="F113" s="5" t="s">
        <v>28</v>
      </c>
      <c r="G113" s="5">
        <v>676</v>
      </c>
      <c r="H113" s="5" t="s">
        <v>29</v>
      </c>
      <c r="I113" s="5" t="s">
        <v>30</v>
      </c>
      <c r="J113" s="5">
        <v>1348290000</v>
      </c>
      <c r="K113" s="5">
        <v>1348808400</v>
      </c>
      <c r="L113" s="5" t="b">
        <v>0</v>
      </c>
      <c r="M113" s="5" t="b">
        <v>0</v>
      </c>
      <c r="N113" s="5" t="s">
        <v>141</v>
      </c>
      <c r="O113" s="8">
        <f t="shared" si="0"/>
        <v>1.1995602605863191</v>
      </c>
      <c r="P113" s="9">
        <f t="shared" si="2"/>
        <v>108.95414201183432</v>
      </c>
      <c r="Q113" s="5" t="str" cm="1">
        <f t="array" ref="Q113:R113">_xlfn.TEXTSPLIT(N113,"/")</f>
        <v>publishing</v>
      </c>
      <c r="R113" t="str">
        <v>radio &amp; podcasts</v>
      </c>
      <c r="S113" s="10">
        <f t="shared" ref="S113:T113" si="113">(((J113/60)/60)/24)+DATE(1970,1,1)</f>
        <v>41174.208333333336</v>
      </c>
      <c r="T113" s="10">
        <f t="shared" si="113"/>
        <v>41180.208333333336</v>
      </c>
    </row>
    <row r="114" spans="1:20" ht="15.75" customHeight="1" x14ac:dyDescent="0.25">
      <c r="A114" s="5">
        <v>112</v>
      </c>
      <c r="B114" s="6" t="s">
        <v>282</v>
      </c>
      <c r="C114" s="7" t="s">
        <v>283</v>
      </c>
      <c r="D114" s="5">
        <v>4700</v>
      </c>
      <c r="E114" s="5">
        <v>12635</v>
      </c>
      <c r="F114" s="5" t="s">
        <v>28</v>
      </c>
      <c r="G114" s="5">
        <v>361</v>
      </c>
      <c r="H114" s="5" t="s">
        <v>34</v>
      </c>
      <c r="I114" s="5" t="s">
        <v>35</v>
      </c>
      <c r="J114" s="5">
        <v>1408856400</v>
      </c>
      <c r="K114" s="5">
        <v>1410152400</v>
      </c>
      <c r="L114" s="5" t="b">
        <v>0</v>
      </c>
      <c r="M114" s="5" t="b">
        <v>0</v>
      </c>
      <c r="N114" s="5" t="s">
        <v>36</v>
      </c>
      <c r="O114" s="8">
        <f t="shared" si="0"/>
        <v>2.6882978723404256</v>
      </c>
      <c r="P114" s="9">
        <f t="shared" si="2"/>
        <v>35</v>
      </c>
      <c r="Q114" s="5" t="str" cm="1">
        <f t="array" ref="Q114:R114">_xlfn.TEXTSPLIT(N114,"/")</f>
        <v>technology</v>
      </c>
      <c r="R114" t="str">
        <v>web</v>
      </c>
      <c r="S114" s="10">
        <f t="shared" ref="S114:T114" si="114">(((J114/60)/60)/24)+DATE(1970,1,1)</f>
        <v>41875.208333333336</v>
      </c>
      <c r="T114" s="10">
        <f t="shared" si="114"/>
        <v>41890.208333333336</v>
      </c>
    </row>
    <row r="115" spans="1:20" ht="15.75" customHeight="1" x14ac:dyDescent="0.25">
      <c r="A115" s="5">
        <v>113</v>
      </c>
      <c r="B115" s="6" t="s">
        <v>284</v>
      </c>
      <c r="C115" s="7" t="s">
        <v>285</v>
      </c>
      <c r="D115" s="5">
        <v>3300</v>
      </c>
      <c r="E115" s="5">
        <v>12437</v>
      </c>
      <c r="F115" s="5" t="s">
        <v>28</v>
      </c>
      <c r="G115" s="5">
        <v>131</v>
      </c>
      <c r="H115" s="5" t="s">
        <v>29</v>
      </c>
      <c r="I115" s="5" t="s">
        <v>30</v>
      </c>
      <c r="J115" s="5">
        <v>1505192400</v>
      </c>
      <c r="K115" s="5">
        <v>1505797200</v>
      </c>
      <c r="L115" s="5" t="b">
        <v>0</v>
      </c>
      <c r="M115" s="5" t="b">
        <v>0</v>
      </c>
      <c r="N115" s="5" t="s">
        <v>25</v>
      </c>
      <c r="O115" s="8">
        <f t="shared" si="0"/>
        <v>3.7687878787878786</v>
      </c>
      <c r="P115" s="9">
        <f t="shared" si="2"/>
        <v>94.938931297709928</v>
      </c>
      <c r="Q115" s="5" t="str" cm="1">
        <f t="array" ref="Q115:R115">_xlfn.TEXTSPLIT(N115,"/")</f>
        <v>food</v>
      </c>
      <c r="R115" t="str">
        <v>food trucks</v>
      </c>
      <c r="S115" s="10">
        <f t="shared" ref="S115:T115" si="115">(((J115/60)/60)/24)+DATE(1970,1,1)</f>
        <v>42990.208333333328</v>
      </c>
      <c r="T115" s="10">
        <f t="shared" si="115"/>
        <v>42997.208333333328</v>
      </c>
    </row>
    <row r="116" spans="1:20" ht="15.75" customHeight="1" x14ac:dyDescent="0.25">
      <c r="A116" s="5">
        <v>114</v>
      </c>
      <c r="B116" s="6" t="s">
        <v>286</v>
      </c>
      <c r="C116" s="7" t="s">
        <v>287</v>
      </c>
      <c r="D116" s="5">
        <v>1900</v>
      </c>
      <c r="E116" s="5">
        <v>13816</v>
      </c>
      <c r="F116" s="5" t="s">
        <v>28</v>
      </c>
      <c r="G116" s="5">
        <v>126</v>
      </c>
      <c r="H116" s="5" t="s">
        <v>29</v>
      </c>
      <c r="I116" s="5" t="s">
        <v>30</v>
      </c>
      <c r="J116" s="5">
        <v>1554786000</v>
      </c>
      <c r="K116" s="5">
        <v>1554872400</v>
      </c>
      <c r="L116" s="5" t="b">
        <v>0</v>
      </c>
      <c r="M116" s="5" t="b">
        <v>1</v>
      </c>
      <c r="N116" s="5" t="s">
        <v>73</v>
      </c>
      <c r="O116" s="8">
        <f t="shared" si="0"/>
        <v>7.2715789473684209</v>
      </c>
      <c r="P116" s="9">
        <f t="shared" si="2"/>
        <v>109.65079365079364</v>
      </c>
      <c r="Q116" s="5" t="str" cm="1">
        <f t="array" ref="Q116:R116">_xlfn.TEXTSPLIT(N116,"/")</f>
        <v>technology</v>
      </c>
      <c r="R116" t="str">
        <v>wearables</v>
      </c>
      <c r="S116" s="10">
        <f t="shared" ref="S116:T116" si="116">(((J116/60)/60)/24)+DATE(1970,1,1)</f>
        <v>43564.208333333328</v>
      </c>
      <c r="T116" s="10">
        <f t="shared" si="116"/>
        <v>43565.208333333328</v>
      </c>
    </row>
    <row r="117" spans="1:20" ht="15.75" customHeight="1" x14ac:dyDescent="0.25">
      <c r="A117" s="5">
        <v>115</v>
      </c>
      <c r="B117" s="6" t="s">
        <v>288</v>
      </c>
      <c r="C117" s="7" t="s">
        <v>289</v>
      </c>
      <c r="D117" s="5">
        <v>166700</v>
      </c>
      <c r="E117" s="5">
        <v>145382</v>
      </c>
      <c r="F117" s="5" t="s">
        <v>22</v>
      </c>
      <c r="G117" s="5">
        <v>3304</v>
      </c>
      <c r="H117" s="5" t="s">
        <v>115</v>
      </c>
      <c r="I117" s="5" t="s">
        <v>116</v>
      </c>
      <c r="J117" s="5">
        <v>1510898400</v>
      </c>
      <c r="K117" s="5">
        <v>1513922400</v>
      </c>
      <c r="L117" s="5" t="b">
        <v>0</v>
      </c>
      <c r="M117" s="5" t="b">
        <v>0</v>
      </c>
      <c r="N117" s="5" t="s">
        <v>127</v>
      </c>
      <c r="O117" s="8">
        <f t="shared" si="0"/>
        <v>0.87211757648470301</v>
      </c>
      <c r="P117" s="9">
        <f t="shared" si="2"/>
        <v>44.001815980629537</v>
      </c>
      <c r="Q117" s="5" t="str" cm="1">
        <f t="array" ref="Q117:R117">_xlfn.TEXTSPLIT(N117,"/")</f>
        <v>publishing</v>
      </c>
      <c r="R117" t="str">
        <v>fiction</v>
      </c>
      <c r="S117" s="10">
        <f t="shared" ref="S117:T117" si="117">(((J117/60)/60)/24)+DATE(1970,1,1)</f>
        <v>43056.25</v>
      </c>
      <c r="T117" s="10">
        <f t="shared" si="117"/>
        <v>43091.25</v>
      </c>
    </row>
    <row r="118" spans="1:20" ht="15.75" customHeight="1" x14ac:dyDescent="0.25">
      <c r="A118" s="5">
        <v>116</v>
      </c>
      <c r="B118" s="6" t="s">
        <v>290</v>
      </c>
      <c r="C118" s="7" t="s">
        <v>291</v>
      </c>
      <c r="D118" s="5">
        <v>7200</v>
      </c>
      <c r="E118" s="5">
        <v>6336</v>
      </c>
      <c r="F118" s="5" t="s">
        <v>22</v>
      </c>
      <c r="G118" s="5">
        <v>73</v>
      </c>
      <c r="H118" s="5" t="s">
        <v>29</v>
      </c>
      <c r="I118" s="5" t="s">
        <v>30</v>
      </c>
      <c r="J118" s="5">
        <v>1442552400</v>
      </c>
      <c r="K118" s="5">
        <v>1442638800</v>
      </c>
      <c r="L118" s="5" t="b">
        <v>0</v>
      </c>
      <c r="M118" s="5" t="b">
        <v>0</v>
      </c>
      <c r="N118" s="5" t="s">
        <v>41</v>
      </c>
      <c r="O118" s="8">
        <f t="shared" si="0"/>
        <v>0.88</v>
      </c>
      <c r="P118" s="9">
        <f t="shared" si="2"/>
        <v>86.794520547945211</v>
      </c>
      <c r="Q118" s="5" t="str" cm="1">
        <f t="array" ref="Q118:R118">_xlfn.TEXTSPLIT(N118,"/")</f>
        <v>theater</v>
      </c>
      <c r="R118" t="str">
        <v>plays</v>
      </c>
      <c r="S118" s="10">
        <f t="shared" ref="S118:T118" si="118">(((J118/60)/60)/24)+DATE(1970,1,1)</f>
        <v>42265.208333333328</v>
      </c>
      <c r="T118" s="10">
        <f t="shared" si="118"/>
        <v>42266.208333333328</v>
      </c>
    </row>
    <row r="119" spans="1:20" ht="15.75" customHeight="1" x14ac:dyDescent="0.25">
      <c r="A119" s="5">
        <v>117</v>
      </c>
      <c r="B119" s="6" t="s">
        <v>292</v>
      </c>
      <c r="C119" s="7" t="s">
        <v>293</v>
      </c>
      <c r="D119" s="5">
        <v>4900</v>
      </c>
      <c r="E119" s="5">
        <v>8523</v>
      </c>
      <c r="F119" s="5" t="s">
        <v>28</v>
      </c>
      <c r="G119" s="5">
        <v>275</v>
      </c>
      <c r="H119" s="5" t="s">
        <v>29</v>
      </c>
      <c r="I119" s="5" t="s">
        <v>30</v>
      </c>
      <c r="J119" s="5">
        <v>1316667600</v>
      </c>
      <c r="K119" s="5">
        <v>1317186000</v>
      </c>
      <c r="L119" s="5" t="b">
        <v>0</v>
      </c>
      <c r="M119" s="5" t="b">
        <v>0</v>
      </c>
      <c r="N119" s="5" t="s">
        <v>277</v>
      </c>
      <c r="O119" s="8">
        <f t="shared" si="0"/>
        <v>1.7393877551020409</v>
      </c>
      <c r="P119" s="9">
        <f t="shared" si="2"/>
        <v>30.992727272727272</v>
      </c>
      <c r="Q119" s="5" t="str" cm="1">
        <f t="array" ref="Q119:R119">_xlfn.TEXTSPLIT(N119,"/")</f>
        <v>film &amp; video</v>
      </c>
      <c r="R119" t="str">
        <v>television</v>
      </c>
      <c r="S119" s="10">
        <f t="shared" ref="S119:T119" si="119">(((J119/60)/60)/24)+DATE(1970,1,1)</f>
        <v>40808.208333333336</v>
      </c>
      <c r="T119" s="10">
        <f t="shared" si="119"/>
        <v>40814.208333333336</v>
      </c>
    </row>
    <row r="120" spans="1:20" ht="15.75" customHeight="1" x14ac:dyDescent="0.25">
      <c r="A120" s="5">
        <v>118</v>
      </c>
      <c r="B120" s="6" t="s">
        <v>294</v>
      </c>
      <c r="C120" s="7" t="s">
        <v>295</v>
      </c>
      <c r="D120" s="5">
        <v>5400</v>
      </c>
      <c r="E120" s="5">
        <v>6351</v>
      </c>
      <c r="F120" s="5" t="s">
        <v>28</v>
      </c>
      <c r="G120" s="5">
        <v>67</v>
      </c>
      <c r="H120" s="5" t="s">
        <v>29</v>
      </c>
      <c r="I120" s="5" t="s">
        <v>30</v>
      </c>
      <c r="J120" s="5">
        <v>1390716000</v>
      </c>
      <c r="K120" s="5">
        <v>1391234400</v>
      </c>
      <c r="L120" s="5" t="b">
        <v>0</v>
      </c>
      <c r="M120" s="5" t="b">
        <v>0</v>
      </c>
      <c r="N120" s="5" t="s">
        <v>130</v>
      </c>
      <c r="O120" s="8">
        <f t="shared" si="0"/>
        <v>1.1761111111111111</v>
      </c>
      <c r="P120" s="9">
        <f t="shared" si="2"/>
        <v>94.791044776119406</v>
      </c>
      <c r="Q120" s="5" t="str" cm="1">
        <f t="array" ref="Q120:R120">_xlfn.TEXTSPLIT(N120,"/")</f>
        <v>photography</v>
      </c>
      <c r="R120" t="str">
        <v>photography books</v>
      </c>
      <c r="S120" s="10">
        <f t="shared" ref="S120:T120" si="120">(((J120/60)/60)/24)+DATE(1970,1,1)</f>
        <v>41665.25</v>
      </c>
      <c r="T120" s="10">
        <f t="shared" si="120"/>
        <v>41671.25</v>
      </c>
    </row>
    <row r="121" spans="1:20" ht="15.75" customHeight="1" x14ac:dyDescent="0.25">
      <c r="A121" s="5">
        <v>119</v>
      </c>
      <c r="B121" s="6" t="s">
        <v>296</v>
      </c>
      <c r="C121" s="7" t="s">
        <v>297</v>
      </c>
      <c r="D121" s="5">
        <v>5000</v>
      </c>
      <c r="E121" s="5">
        <v>10748</v>
      </c>
      <c r="F121" s="5" t="s">
        <v>28</v>
      </c>
      <c r="G121" s="5">
        <v>154</v>
      </c>
      <c r="H121" s="5" t="s">
        <v>29</v>
      </c>
      <c r="I121" s="5" t="s">
        <v>30</v>
      </c>
      <c r="J121" s="5">
        <v>1402894800</v>
      </c>
      <c r="K121" s="5">
        <v>1404363600</v>
      </c>
      <c r="L121" s="5" t="b">
        <v>0</v>
      </c>
      <c r="M121" s="5" t="b">
        <v>1</v>
      </c>
      <c r="N121" s="5" t="s">
        <v>50</v>
      </c>
      <c r="O121" s="8">
        <f t="shared" si="0"/>
        <v>2.1496</v>
      </c>
      <c r="P121" s="9">
        <f t="shared" si="2"/>
        <v>69.79220779220779</v>
      </c>
      <c r="Q121" s="5" t="str" cm="1">
        <f t="array" ref="Q121:R121">_xlfn.TEXTSPLIT(N121,"/")</f>
        <v>film &amp; video</v>
      </c>
      <c r="R121" t="str">
        <v>documentary</v>
      </c>
      <c r="S121" s="10">
        <f t="shared" ref="S121:T121" si="121">(((J121/60)/60)/24)+DATE(1970,1,1)</f>
        <v>41806.208333333336</v>
      </c>
      <c r="T121" s="10">
        <f t="shared" si="121"/>
        <v>41823.208333333336</v>
      </c>
    </row>
    <row r="122" spans="1:20" ht="15.75" customHeight="1" x14ac:dyDescent="0.25">
      <c r="A122" s="5">
        <v>120</v>
      </c>
      <c r="B122" s="6" t="s">
        <v>298</v>
      </c>
      <c r="C122" s="7" t="s">
        <v>299</v>
      </c>
      <c r="D122" s="5">
        <v>75100</v>
      </c>
      <c r="E122" s="5">
        <v>112272</v>
      </c>
      <c r="F122" s="5" t="s">
        <v>28</v>
      </c>
      <c r="G122" s="5">
        <v>1782</v>
      </c>
      <c r="H122" s="5" t="s">
        <v>29</v>
      </c>
      <c r="I122" s="5" t="s">
        <v>30</v>
      </c>
      <c r="J122" s="5">
        <v>1429246800</v>
      </c>
      <c r="K122" s="5">
        <v>1429592400</v>
      </c>
      <c r="L122" s="5" t="b">
        <v>0</v>
      </c>
      <c r="M122" s="5" t="b">
        <v>1</v>
      </c>
      <c r="N122" s="5" t="s">
        <v>300</v>
      </c>
      <c r="O122" s="8">
        <f t="shared" si="0"/>
        <v>1.4949667110519307</v>
      </c>
      <c r="P122" s="9">
        <f t="shared" si="2"/>
        <v>63.003367003367003</v>
      </c>
      <c r="Q122" s="5" t="str" cm="1">
        <f t="array" ref="Q122:R122">_xlfn.TEXTSPLIT(N122,"/")</f>
        <v>games</v>
      </c>
      <c r="R122" t="str">
        <v>mobile games</v>
      </c>
      <c r="S122" s="10">
        <f t="shared" ref="S122:T122" si="122">(((J122/60)/60)/24)+DATE(1970,1,1)</f>
        <v>42111.208333333328</v>
      </c>
      <c r="T122" s="10">
        <f t="shared" si="122"/>
        <v>42115.208333333328</v>
      </c>
    </row>
    <row r="123" spans="1:20" ht="15.75" customHeight="1" x14ac:dyDescent="0.25">
      <c r="A123" s="5">
        <v>121</v>
      </c>
      <c r="B123" s="6" t="s">
        <v>301</v>
      </c>
      <c r="C123" s="7" t="s">
        <v>302</v>
      </c>
      <c r="D123" s="5">
        <v>45300</v>
      </c>
      <c r="E123" s="5">
        <v>99361</v>
      </c>
      <c r="F123" s="5" t="s">
        <v>28</v>
      </c>
      <c r="G123" s="5">
        <v>903</v>
      </c>
      <c r="H123" s="5" t="s">
        <v>29</v>
      </c>
      <c r="I123" s="5" t="s">
        <v>30</v>
      </c>
      <c r="J123" s="5">
        <v>1412485200</v>
      </c>
      <c r="K123" s="5">
        <v>1413608400</v>
      </c>
      <c r="L123" s="5" t="b">
        <v>0</v>
      </c>
      <c r="M123" s="5" t="b">
        <v>0</v>
      </c>
      <c r="N123" s="5" t="s">
        <v>97</v>
      </c>
      <c r="O123" s="8">
        <f t="shared" si="0"/>
        <v>2.1933995584988963</v>
      </c>
      <c r="P123" s="9">
        <f t="shared" si="2"/>
        <v>110.0343300110742</v>
      </c>
      <c r="Q123" s="5" t="str" cm="1">
        <f t="array" ref="Q123:R123">_xlfn.TEXTSPLIT(N123,"/")</f>
        <v>games</v>
      </c>
      <c r="R123" t="str">
        <v>video games</v>
      </c>
      <c r="S123" s="10">
        <f t="shared" ref="S123:T123" si="123">(((J123/60)/60)/24)+DATE(1970,1,1)</f>
        <v>41917.208333333336</v>
      </c>
      <c r="T123" s="10">
        <f t="shared" si="123"/>
        <v>41930.208333333336</v>
      </c>
    </row>
    <row r="124" spans="1:20" ht="15.75" customHeight="1" x14ac:dyDescent="0.25">
      <c r="A124" s="5">
        <v>122</v>
      </c>
      <c r="B124" s="6" t="s">
        <v>303</v>
      </c>
      <c r="C124" s="7" t="s">
        <v>304</v>
      </c>
      <c r="D124" s="5">
        <v>136800</v>
      </c>
      <c r="E124" s="5">
        <v>88055</v>
      </c>
      <c r="F124" s="5" t="s">
        <v>22</v>
      </c>
      <c r="G124" s="5">
        <v>3387</v>
      </c>
      <c r="H124" s="5" t="s">
        <v>29</v>
      </c>
      <c r="I124" s="5" t="s">
        <v>30</v>
      </c>
      <c r="J124" s="5">
        <v>1417068000</v>
      </c>
      <c r="K124" s="5">
        <v>1419400800</v>
      </c>
      <c r="L124" s="5" t="b">
        <v>0</v>
      </c>
      <c r="M124" s="5" t="b">
        <v>0</v>
      </c>
      <c r="N124" s="5" t="s">
        <v>127</v>
      </c>
      <c r="O124" s="8">
        <f t="shared" si="0"/>
        <v>0.64367690058479532</v>
      </c>
      <c r="P124" s="9">
        <f t="shared" si="2"/>
        <v>25.997933274284026</v>
      </c>
      <c r="Q124" s="5" t="str" cm="1">
        <f t="array" ref="Q124:R124">_xlfn.TEXTSPLIT(N124,"/")</f>
        <v>publishing</v>
      </c>
      <c r="R124" t="str">
        <v>fiction</v>
      </c>
      <c r="S124" s="10">
        <f t="shared" ref="S124:T124" si="124">(((J124/60)/60)/24)+DATE(1970,1,1)</f>
        <v>41970.25</v>
      </c>
      <c r="T124" s="10">
        <f t="shared" si="124"/>
        <v>41997.25</v>
      </c>
    </row>
    <row r="125" spans="1:20" ht="15.75" customHeight="1" x14ac:dyDescent="0.25">
      <c r="A125" s="5">
        <v>123</v>
      </c>
      <c r="B125" s="6" t="s">
        <v>305</v>
      </c>
      <c r="C125" s="7" t="s">
        <v>306</v>
      </c>
      <c r="D125" s="5">
        <v>177700</v>
      </c>
      <c r="E125" s="5">
        <v>33092</v>
      </c>
      <c r="F125" s="5" t="s">
        <v>22</v>
      </c>
      <c r="G125" s="5">
        <v>662</v>
      </c>
      <c r="H125" s="5" t="s">
        <v>23</v>
      </c>
      <c r="I125" s="5" t="s">
        <v>24</v>
      </c>
      <c r="J125" s="5">
        <v>1448344800</v>
      </c>
      <c r="K125" s="5">
        <v>1448604000</v>
      </c>
      <c r="L125" s="5" t="b">
        <v>1</v>
      </c>
      <c r="M125" s="5" t="b">
        <v>0</v>
      </c>
      <c r="N125" s="5" t="s">
        <v>41</v>
      </c>
      <c r="O125" s="8">
        <f t="shared" si="0"/>
        <v>0.18622397298818233</v>
      </c>
      <c r="P125" s="9">
        <f t="shared" si="2"/>
        <v>49.987915407854985</v>
      </c>
      <c r="Q125" s="5" t="str" cm="1">
        <f t="array" ref="Q125:R125">_xlfn.TEXTSPLIT(N125,"/")</f>
        <v>theater</v>
      </c>
      <c r="R125" t="str">
        <v>plays</v>
      </c>
      <c r="S125" s="10">
        <f t="shared" ref="S125:T125" si="125">(((J125/60)/60)/24)+DATE(1970,1,1)</f>
        <v>42332.25</v>
      </c>
      <c r="T125" s="10">
        <f t="shared" si="125"/>
        <v>42335.25</v>
      </c>
    </row>
    <row r="126" spans="1:20" ht="15.75" customHeight="1" x14ac:dyDescent="0.25">
      <c r="A126" s="5">
        <v>124</v>
      </c>
      <c r="B126" s="6" t="s">
        <v>307</v>
      </c>
      <c r="C126" s="7" t="s">
        <v>308</v>
      </c>
      <c r="D126" s="5">
        <v>2600</v>
      </c>
      <c r="E126" s="5">
        <v>9562</v>
      </c>
      <c r="F126" s="5" t="s">
        <v>28</v>
      </c>
      <c r="G126" s="5">
        <v>94</v>
      </c>
      <c r="H126" s="5" t="s">
        <v>115</v>
      </c>
      <c r="I126" s="5" t="s">
        <v>116</v>
      </c>
      <c r="J126" s="5">
        <v>1557723600</v>
      </c>
      <c r="K126" s="5">
        <v>1562302800</v>
      </c>
      <c r="L126" s="5" t="b">
        <v>0</v>
      </c>
      <c r="M126" s="5" t="b">
        <v>0</v>
      </c>
      <c r="N126" s="5" t="s">
        <v>130</v>
      </c>
      <c r="O126" s="8">
        <f t="shared" si="0"/>
        <v>3.6776923076923076</v>
      </c>
      <c r="P126" s="9">
        <f t="shared" si="2"/>
        <v>101.72340425531915</v>
      </c>
      <c r="Q126" s="5" t="str" cm="1">
        <f t="array" ref="Q126:R126">_xlfn.TEXTSPLIT(N126,"/")</f>
        <v>photography</v>
      </c>
      <c r="R126" t="str">
        <v>photography books</v>
      </c>
      <c r="S126" s="10">
        <f t="shared" ref="S126:T126" si="126">(((J126/60)/60)/24)+DATE(1970,1,1)</f>
        <v>43598.208333333328</v>
      </c>
      <c r="T126" s="10">
        <f t="shared" si="126"/>
        <v>43651.208333333328</v>
      </c>
    </row>
    <row r="127" spans="1:20" ht="15.75" customHeight="1" x14ac:dyDescent="0.25">
      <c r="A127" s="5">
        <v>125</v>
      </c>
      <c r="B127" s="6" t="s">
        <v>309</v>
      </c>
      <c r="C127" s="7" t="s">
        <v>310</v>
      </c>
      <c r="D127" s="5">
        <v>5300</v>
      </c>
      <c r="E127" s="5">
        <v>8475</v>
      </c>
      <c r="F127" s="5" t="s">
        <v>28</v>
      </c>
      <c r="G127" s="5">
        <v>180</v>
      </c>
      <c r="H127" s="5" t="s">
        <v>29</v>
      </c>
      <c r="I127" s="5" t="s">
        <v>30</v>
      </c>
      <c r="J127" s="5">
        <v>1537333200</v>
      </c>
      <c r="K127" s="5">
        <v>1537678800</v>
      </c>
      <c r="L127" s="5" t="b">
        <v>0</v>
      </c>
      <c r="M127" s="5" t="b">
        <v>0</v>
      </c>
      <c r="N127" s="5" t="s">
        <v>41</v>
      </c>
      <c r="O127" s="8">
        <f t="shared" si="0"/>
        <v>1.5990566037735849</v>
      </c>
      <c r="P127" s="9">
        <f t="shared" si="2"/>
        <v>47.083333333333336</v>
      </c>
      <c r="Q127" s="5" t="str" cm="1">
        <f t="array" ref="Q127:R127">_xlfn.TEXTSPLIT(N127,"/")</f>
        <v>theater</v>
      </c>
      <c r="R127" t="str">
        <v>plays</v>
      </c>
      <c r="S127" s="10">
        <f t="shared" ref="S127:T127" si="127">(((J127/60)/60)/24)+DATE(1970,1,1)</f>
        <v>43362.208333333328</v>
      </c>
      <c r="T127" s="10">
        <f t="shared" si="127"/>
        <v>43366.208333333328</v>
      </c>
    </row>
    <row r="128" spans="1:20" ht="15.75" customHeight="1" x14ac:dyDescent="0.25">
      <c r="A128" s="5">
        <v>126</v>
      </c>
      <c r="B128" s="6" t="s">
        <v>311</v>
      </c>
      <c r="C128" s="7" t="s">
        <v>312</v>
      </c>
      <c r="D128" s="5">
        <v>180200</v>
      </c>
      <c r="E128" s="5">
        <v>69617</v>
      </c>
      <c r="F128" s="5" t="s">
        <v>22</v>
      </c>
      <c r="G128" s="5">
        <v>774</v>
      </c>
      <c r="H128" s="5" t="s">
        <v>29</v>
      </c>
      <c r="I128" s="5" t="s">
        <v>30</v>
      </c>
      <c r="J128" s="5">
        <v>1471150800</v>
      </c>
      <c r="K128" s="5">
        <v>1473570000</v>
      </c>
      <c r="L128" s="5" t="b">
        <v>0</v>
      </c>
      <c r="M128" s="5" t="b">
        <v>1</v>
      </c>
      <c r="N128" s="5" t="s">
        <v>41</v>
      </c>
      <c r="O128" s="8">
        <f t="shared" si="0"/>
        <v>0.38633185349611543</v>
      </c>
      <c r="P128" s="9">
        <f t="shared" si="2"/>
        <v>89.944444444444443</v>
      </c>
      <c r="Q128" s="5" t="str" cm="1">
        <f t="array" ref="Q128:R128">_xlfn.TEXTSPLIT(N128,"/")</f>
        <v>theater</v>
      </c>
      <c r="R128" t="str">
        <v>plays</v>
      </c>
      <c r="S128" s="10">
        <f t="shared" ref="S128:T128" si="128">(((J128/60)/60)/24)+DATE(1970,1,1)</f>
        <v>42596.208333333328</v>
      </c>
      <c r="T128" s="10">
        <f t="shared" si="128"/>
        <v>42624.208333333328</v>
      </c>
    </row>
    <row r="129" spans="1:20" ht="15.75" customHeight="1" x14ac:dyDescent="0.25">
      <c r="A129" s="5">
        <v>127</v>
      </c>
      <c r="B129" s="6" t="s">
        <v>313</v>
      </c>
      <c r="C129" s="7" t="s">
        <v>314</v>
      </c>
      <c r="D129" s="5">
        <v>103200</v>
      </c>
      <c r="E129" s="5">
        <v>53067</v>
      </c>
      <c r="F129" s="5" t="s">
        <v>22</v>
      </c>
      <c r="G129" s="5">
        <v>672</v>
      </c>
      <c r="H129" s="5" t="s">
        <v>23</v>
      </c>
      <c r="I129" s="5" t="s">
        <v>24</v>
      </c>
      <c r="J129" s="5">
        <v>1273640400</v>
      </c>
      <c r="K129" s="5">
        <v>1273899600</v>
      </c>
      <c r="L129" s="5" t="b">
        <v>0</v>
      </c>
      <c r="M129" s="5" t="b">
        <v>0</v>
      </c>
      <c r="N129" s="5" t="s">
        <v>41</v>
      </c>
      <c r="O129" s="8">
        <f t="shared" si="0"/>
        <v>0.51421511627906979</v>
      </c>
      <c r="P129" s="9">
        <f t="shared" si="2"/>
        <v>78.96875</v>
      </c>
      <c r="Q129" s="5" t="str" cm="1">
        <f t="array" ref="Q129:R129">_xlfn.TEXTSPLIT(N129,"/")</f>
        <v>theater</v>
      </c>
      <c r="R129" t="str">
        <v>plays</v>
      </c>
      <c r="S129" s="10">
        <f t="shared" ref="S129:T129" si="129">(((J129/60)/60)/24)+DATE(1970,1,1)</f>
        <v>40310.208333333336</v>
      </c>
      <c r="T129" s="10">
        <f t="shared" si="129"/>
        <v>40313.208333333336</v>
      </c>
    </row>
    <row r="130" spans="1:20" ht="15.75" customHeight="1" x14ac:dyDescent="0.25">
      <c r="A130" s="5">
        <v>128</v>
      </c>
      <c r="B130" s="6" t="s">
        <v>315</v>
      </c>
      <c r="C130" s="7" t="s">
        <v>316</v>
      </c>
      <c r="D130" s="5">
        <v>70600</v>
      </c>
      <c r="E130" s="5">
        <v>42596</v>
      </c>
      <c r="F130" s="5" t="s">
        <v>82</v>
      </c>
      <c r="G130" s="5">
        <v>532</v>
      </c>
      <c r="H130" s="5" t="s">
        <v>29</v>
      </c>
      <c r="I130" s="5" t="s">
        <v>30</v>
      </c>
      <c r="J130" s="5">
        <v>1282885200</v>
      </c>
      <c r="K130" s="5">
        <v>1284008400</v>
      </c>
      <c r="L130" s="5" t="b">
        <v>0</v>
      </c>
      <c r="M130" s="5" t="b">
        <v>0</v>
      </c>
      <c r="N130" s="5" t="s">
        <v>31</v>
      </c>
      <c r="O130" s="8">
        <f t="shared" si="0"/>
        <v>0.60334277620396604</v>
      </c>
      <c r="P130" s="9">
        <f t="shared" si="2"/>
        <v>80.067669172932327</v>
      </c>
      <c r="Q130" s="5" t="str" cm="1">
        <f t="array" ref="Q130:R130">_xlfn.TEXTSPLIT(N130,"/")</f>
        <v>music</v>
      </c>
      <c r="R130" t="str">
        <v>rock</v>
      </c>
      <c r="S130" s="10">
        <f t="shared" ref="S130:T130" si="130">(((J130/60)/60)/24)+DATE(1970,1,1)</f>
        <v>40417.208333333336</v>
      </c>
      <c r="T130" s="10">
        <f t="shared" si="130"/>
        <v>40430.208333333336</v>
      </c>
    </row>
    <row r="131" spans="1:20" ht="15.75" customHeight="1" x14ac:dyDescent="0.25">
      <c r="A131" s="5">
        <v>129</v>
      </c>
      <c r="B131" s="6" t="s">
        <v>317</v>
      </c>
      <c r="C131" s="7" t="s">
        <v>318</v>
      </c>
      <c r="D131" s="5">
        <v>148500</v>
      </c>
      <c r="E131" s="5">
        <v>4756</v>
      </c>
      <c r="F131" s="5" t="s">
        <v>82</v>
      </c>
      <c r="G131" s="5">
        <v>55</v>
      </c>
      <c r="H131" s="5" t="s">
        <v>34</v>
      </c>
      <c r="I131" s="5" t="s">
        <v>35</v>
      </c>
      <c r="J131" s="5">
        <v>1422943200</v>
      </c>
      <c r="K131" s="5">
        <v>1425103200</v>
      </c>
      <c r="L131" s="5" t="b">
        <v>0</v>
      </c>
      <c r="M131" s="5" t="b">
        <v>0</v>
      </c>
      <c r="N131" s="5" t="s">
        <v>25</v>
      </c>
      <c r="O131" s="8">
        <f t="shared" si="0"/>
        <v>3.2026936026936029E-2</v>
      </c>
      <c r="P131" s="9">
        <f t="shared" si="2"/>
        <v>86.472727272727269</v>
      </c>
      <c r="Q131" s="5" t="str" cm="1">
        <f t="array" ref="Q131:R131">_xlfn.TEXTSPLIT(N131,"/")</f>
        <v>food</v>
      </c>
      <c r="R131" t="str">
        <v>food trucks</v>
      </c>
      <c r="S131" s="10">
        <f t="shared" ref="S131:T131" si="131">(((J131/60)/60)/24)+DATE(1970,1,1)</f>
        <v>42038.25</v>
      </c>
      <c r="T131" s="10">
        <f t="shared" si="131"/>
        <v>42063.25</v>
      </c>
    </row>
    <row r="132" spans="1:20" ht="15.75" customHeight="1" x14ac:dyDescent="0.25">
      <c r="A132" s="5">
        <v>130</v>
      </c>
      <c r="B132" s="6" t="s">
        <v>319</v>
      </c>
      <c r="C132" s="7" t="s">
        <v>320</v>
      </c>
      <c r="D132" s="5">
        <v>9600</v>
      </c>
      <c r="E132" s="5">
        <v>14925</v>
      </c>
      <c r="F132" s="5" t="s">
        <v>28</v>
      </c>
      <c r="G132" s="5">
        <v>533</v>
      </c>
      <c r="H132" s="5" t="s">
        <v>44</v>
      </c>
      <c r="I132" s="5" t="s">
        <v>45</v>
      </c>
      <c r="J132" s="5">
        <v>1319605200</v>
      </c>
      <c r="K132" s="5">
        <v>1320991200</v>
      </c>
      <c r="L132" s="5" t="b">
        <v>0</v>
      </c>
      <c r="M132" s="5" t="b">
        <v>0</v>
      </c>
      <c r="N132" s="5" t="s">
        <v>61</v>
      </c>
      <c r="O132" s="8">
        <f t="shared" si="0"/>
        <v>1.5546875</v>
      </c>
      <c r="P132" s="9">
        <f t="shared" si="2"/>
        <v>28.001876172607879</v>
      </c>
      <c r="Q132" s="5" t="str" cm="1">
        <f t="array" ref="Q132:R132">_xlfn.TEXTSPLIT(N132,"/")</f>
        <v>film &amp; video</v>
      </c>
      <c r="R132" t="str">
        <v>drama</v>
      </c>
      <c r="S132" s="10">
        <f t="shared" ref="S132:T132" si="132">(((J132/60)/60)/24)+DATE(1970,1,1)</f>
        <v>40842.208333333336</v>
      </c>
      <c r="T132" s="10">
        <f t="shared" si="132"/>
        <v>40858.25</v>
      </c>
    </row>
    <row r="133" spans="1:20" ht="15.75" customHeight="1" x14ac:dyDescent="0.25">
      <c r="A133" s="5">
        <v>131</v>
      </c>
      <c r="B133" s="6" t="s">
        <v>321</v>
      </c>
      <c r="C133" s="7" t="s">
        <v>322</v>
      </c>
      <c r="D133" s="5">
        <v>164700</v>
      </c>
      <c r="E133" s="5">
        <v>166116</v>
      </c>
      <c r="F133" s="5" t="s">
        <v>28</v>
      </c>
      <c r="G133" s="5">
        <v>2443</v>
      </c>
      <c r="H133" s="5" t="s">
        <v>48</v>
      </c>
      <c r="I133" s="5" t="s">
        <v>49</v>
      </c>
      <c r="J133" s="5">
        <v>1385704800</v>
      </c>
      <c r="K133" s="5">
        <v>1386828000</v>
      </c>
      <c r="L133" s="5" t="b">
        <v>0</v>
      </c>
      <c r="M133" s="5" t="b">
        <v>0</v>
      </c>
      <c r="N133" s="5" t="s">
        <v>36</v>
      </c>
      <c r="O133" s="8">
        <f t="shared" si="0"/>
        <v>1.0085974499089254</v>
      </c>
      <c r="P133" s="9">
        <f t="shared" si="2"/>
        <v>67.996725337699544</v>
      </c>
      <c r="Q133" s="5" t="str" cm="1">
        <f t="array" ref="Q133:R133">_xlfn.TEXTSPLIT(N133,"/")</f>
        <v>technology</v>
      </c>
      <c r="R133" t="str">
        <v>web</v>
      </c>
      <c r="S133" s="10">
        <f t="shared" ref="S133:T133" si="133">(((J133/60)/60)/24)+DATE(1970,1,1)</f>
        <v>41607.25</v>
      </c>
      <c r="T133" s="10">
        <f t="shared" si="133"/>
        <v>41620.25</v>
      </c>
    </row>
    <row r="134" spans="1:20" ht="15.75" customHeight="1" x14ac:dyDescent="0.25">
      <c r="A134" s="5">
        <v>132</v>
      </c>
      <c r="B134" s="6" t="s">
        <v>323</v>
      </c>
      <c r="C134" s="7" t="s">
        <v>324</v>
      </c>
      <c r="D134" s="5">
        <v>3300</v>
      </c>
      <c r="E134" s="5">
        <v>3834</v>
      </c>
      <c r="F134" s="5" t="s">
        <v>28</v>
      </c>
      <c r="G134" s="5">
        <v>89</v>
      </c>
      <c r="H134" s="5" t="s">
        <v>29</v>
      </c>
      <c r="I134" s="5" t="s">
        <v>30</v>
      </c>
      <c r="J134" s="5">
        <v>1515736800</v>
      </c>
      <c r="K134" s="5">
        <v>1517119200</v>
      </c>
      <c r="L134" s="5" t="b">
        <v>0</v>
      </c>
      <c r="M134" s="5" t="b">
        <v>1</v>
      </c>
      <c r="N134" s="5" t="s">
        <v>41</v>
      </c>
      <c r="O134" s="8">
        <f t="shared" si="0"/>
        <v>1.1618181818181819</v>
      </c>
      <c r="P134" s="9">
        <f t="shared" si="2"/>
        <v>43.078651685393261</v>
      </c>
      <c r="Q134" s="5" t="str" cm="1">
        <f t="array" ref="Q134:R134">_xlfn.TEXTSPLIT(N134,"/")</f>
        <v>theater</v>
      </c>
      <c r="R134" t="str">
        <v>plays</v>
      </c>
      <c r="S134" s="10">
        <f t="shared" ref="S134:T134" si="134">(((J134/60)/60)/24)+DATE(1970,1,1)</f>
        <v>43112.25</v>
      </c>
      <c r="T134" s="10">
        <f t="shared" si="134"/>
        <v>43128.25</v>
      </c>
    </row>
    <row r="135" spans="1:20" ht="15.75" customHeight="1" x14ac:dyDescent="0.25">
      <c r="A135" s="5">
        <v>133</v>
      </c>
      <c r="B135" s="6" t="s">
        <v>325</v>
      </c>
      <c r="C135" s="7" t="s">
        <v>326</v>
      </c>
      <c r="D135" s="5">
        <v>4500</v>
      </c>
      <c r="E135" s="5">
        <v>13985</v>
      </c>
      <c r="F135" s="5" t="s">
        <v>28</v>
      </c>
      <c r="G135" s="5">
        <v>159</v>
      </c>
      <c r="H135" s="5" t="s">
        <v>29</v>
      </c>
      <c r="I135" s="5" t="s">
        <v>30</v>
      </c>
      <c r="J135" s="5">
        <v>1313125200</v>
      </c>
      <c r="K135" s="5">
        <v>1315026000</v>
      </c>
      <c r="L135" s="5" t="b">
        <v>0</v>
      </c>
      <c r="M135" s="5" t="b">
        <v>0</v>
      </c>
      <c r="N135" s="5" t="s">
        <v>327</v>
      </c>
      <c r="O135" s="8">
        <f t="shared" si="0"/>
        <v>3.1077777777777778</v>
      </c>
      <c r="P135" s="9">
        <f t="shared" si="2"/>
        <v>87.95597484276729</v>
      </c>
      <c r="Q135" s="5" t="str" cm="1">
        <f t="array" ref="Q135:R135">_xlfn.TEXTSPLIT(N135,"/")</f>
        <v>music</v>
      </c>
      <c r="R135" t="str">
        <v>world music</v>
      </c>
      <c r="S135" s="10">
        <f t="shared" ref="S135:T135" si="135">(((J135/60)/60)/24)+DATE(1970,1,1)</f>
        <v>40767.208333333336</v>
      </c>
      <c r="T135" s="10">
        <f t="shared" si="135"/>
        <v>40789.208333333336</v>
      </c>
    </row>
    <row r="136" spans="1:20" ht="15.75" customHeight="1" x14ac:dyDescent="0.25">
      <c r="A136" s="5">
        <v>134</v>
      </c>
      <c r="B136" s="6" t="s">
        <v>328</v>
      </c>
      <c r="C136" s="7" t="s">
        <v>329</v>
      </c>
      <c r="D136" s="5">
        <v>99500</v>
      </c>
      <c r="E136" s="5">
        <v>89288</v>
      </c>
      <c r="F136" s="5" t="s">
        <v>22</v>
      </c>
      <c r="G136" s="5">
        <v>940</v>
      </c>
      <c r="H136" s="5" t="s">
        <v>106</v>
      </c>
      <c r="I136" s="5" t="s">
        <v>107</v>
      </c>
      <c r="J136" s="5">
        <v>1308459600</v>
      </c>
      <c r="K136" s="5">
        <v>1312693200</v>
      </c>
      <c r="L136" s="5" t="b">
        <v>0</v>
      </c>
      <c r="M136" s="5" t="b">
        <v>1</v>
      </c>
      <c r="N136" s="5" t="s">
        <v>50</v>
      </c>
      <c r="O136" s="8">
        <f t="shared" si="0"/>
        <v>0.89736683417085428</v>
      </c>
      <c r="P136" s="9">
        <f t="shared" si="2"/>
        <v>94.987234042553197</v>
      </c>
      <c r="Q136" s="5" t="str" cm="1">
        <f t="array" ref="Q136:R136">_xlfn.TEXTSPLIT(N136,"/")</f>
        <v>film &amp; video</v>
      </c>
      <c r="R136" t="str">
        <v>documentary</v>
      </c>
      <c r="S136" s="10">
        <f t="shared" ref="S136:T136" si="136">(((J136/60)/60)/24)+DATE(1970,1,1)</f>
        <v>40713.208333333336</v>
      </c>
      <c r="T136" s="10">
        <f t="shared" si="136"/>
        <v>40762.208333333336</v>
      </c>
    </row>
    <row r="137" spans="1:20" ht="15.75" customHeight="1" x14ac:dyDescent="0.25">
      <c r="A137" s="5">
        <v>135</v>
      </c>
      <c r="B137" s="6" t="s">
        <v>330</v>
      </c>
      <c r="C137" s="7" t="s">
        <v>331</v>
      </c>
      <c r="D137" s="5">
        <v>7700</v>
      </c>
      <c r="E137" s="5">
        <v>5488</v>
      </c>
      <c r="F137" s="5" t="s">
        <v>22</v>
      </c>
      <c r="G137" s="5">
        <v>117</v>
      </c>
      <c r="H137" s="5" t="s">
        <v>29</v>
      </c>
      <c r="I137" s="5" t="s">
        <v>30</v>
      </c>
      <c r="J137" s="5">
        <v>1362636000</v>
      </c>
      <c r="K137" s="5">
        <v>1363064400</v>
      </c>
      <c r="L137" s="5" t="b">
        <v>0</v>
      </c>
      <c r="M137" s="5" t="b">
        <v>1</v>
      </c>
      <c r="N137" s="5" t="s">
        <v>41</v>
      </c>
      <c r="O137" s="8">
        <f t="shared" si="0"/>
        <v>0.71272727272727276</v>
      </c>
      <c r="P137" s="9">
        <f t="shared" si="2"/>
        <v>46.905982905982903</v>
      </c>
      <c r="Q137" s="5" t="str" cm="1">
        <f t="array" ref="Q137:R137">_xlfn.TEXTSPLIT(N137,"/")</f>
        <v>theater</v>
      </c>
      <c r="R137" t="str">
        <v>plays</v>
      </c>
      <c r="S137" s="10">
        <f t="shared" ref="S137:T137" si="137">(((J137/60)/60)/24)+DATE(1970,1,1)</f>
        <v>41340.25</v>
      </c>
      <c r="T137" s="10">
        <f t="shared" si="137"/>
        <v>41345.208333333336</v>
      </c>
    </row>
    <row r="138" spans="1:20" ht="15.75" customHeight="1" x14ac:dyDescent="0.25">
      <c r="A138" s="5">
        <v>136</v>
      </c>
      <c r="B138" s="6" t="s">
        <v>332</v>
      </c>
      <c r="C138" s="7" t="s">
        <v>333</v>
      </c>
      <c r="D138" s="5">
        <v>82800</v>
      </c>
      <c r="E138" s="5">
        <v>2721</v>
      </c>
      <c r="F138" s="5" t="s">
        <v>82</v>
      </c>
      <c r="G138" s="5">
        <v>58</v>
      </c>
      <c r="H138" s="5" t="s">
        <v>29</v>
      </c>
      <c r="I138" s="5" t="s">
        <v>30</v>
      </c>
      <c r="J138" s="5">
        <v>1402117200</v>
      </c>
      <c r="K138" s="5">
        <v>1403154000</v>
      </c>
      <c r="L138" s="5" t="b">
        <v>0</v>
      </c>
      <c r="M138" s="5" t="b">
        <v>1</v>
      </c>
      <c r="N138" s="5" t="s">
        <v>61</v>
      </c>
      <c r="O138" s="8">
        <f t="shared" si="0"/>
        <v>3.2862318840579711E-2</v>
      </c>
      <c r="P138" s="9">
        <f t="shared" si="2"/>
        <v>46.913793103448278</v>
      </c>
      <c r="Q138" s="5" t="str" cm="1">
        <f t="array" ref="Q138:R138">_xlfn.TEXTSPLIT(N138,"/")</f>
        <v>film &amp; video</v>
      </c>
      <c r="R138" t="str">
        <v>drama</v>
      </c>
      <c r="S138" s="10">
        <f t="shared" ref="S138:T138" si="138">(((J138/60)/60)/24)+DATE(1970,1,1)</f>
        <v>41797.208333333336</v>
      </c>
      <c r="T138" s="10">
        <f t="shared" si="138"/>
        <v>41809.208333333336</v>
      </c>
    </row>
    <row r="139" spans="1:20" ht="15.75" customHeight="1" x14ac:dyDescent="0.25">
      <c r="A139" s="5">
        <v>137</v>
      </c>
      <c r="B139" s="6" t="s">
        <v>334</v>
      </c>
      <c r="C139" s="7" t="s">
        <v>335</v>
      </c>
      <c r="D139" s="5">
        <v>1800</v>
      </c>
      <c r="E139" s="5">
        <v>4712</v>
      </c>
      <c r="F139" s="5" t="s">
        <v>28</v>
      </c>
      <c r="G139" s="5">
        <v>50</v>
      </c>
      <c r="H139" s="5" t="s">
        <v>29</v>
      </c>
      <c r="I139" s="5" t="s">
        <v>30</v>
      </c>
      <c r="J139" s="5">
        <v>1286341200</v>
      </c>
      <c r="K139" s="5">
        <v>1286859600</v>
      </c>
      <c r="L139" s="5" t="b">
        <v>0</v>
      </c>
      <c r="M139" s="5" t="b">
        <v>0</v>
      </c>
      <c r="N139" s="5" t="s">
        <v>76</v>
      </c>
      <c r="O139" s="8">
        <f t="shared" si="0"/>
        <v>2.617777777777778</v>
      </c>
      <c r="P139" s="9">
        <f t="shared" si="2"/>
        <v>94.24</v>
      </c>
      <c r="Q139" s="5" t="str" cm="1">
        <f t="array" ref="Q139:R139">_xlfn.TEXTSPLIT(N139,"/")</f>
        <v>publishing</v>
      </c>
      <c r="R139" t="str">
        <v>nonfiction</v>
      </c>
      <c r="S139" s="10">
        <f t="shared" ref="S139:T139" si="139">(((J139/60)/60)/24)+DATE(1970,1,1)</f>
        <v>40457.208333333336</v>
      </c>
      <c r="T139" s="10">
        <f t="shared" si="139"/>
        <v>40463.208333333336</v>
      </c>
    </row>
    <row r="140" spans="1:20" ht="15.75" customHeight="1" x14ac:dyDescent="0.25">
      <c r="A140" s="5">
        <v>138</v>
      </c>
      <c r="B140" s="6" t="s">
        <v>336</v>
      </c>
      <c r="C140" s="7" t="s">
        <v>337</v>
      </c>
      <c r="D140" s="5">
        <v>9600</v>
      </c>
      <c r="E140" s="5">
        <v>9216</v>
      </c>
      <c r="F140" s="5" t="s">
        <v>22</v>
      </c>
      <c r="G140" s="5">
        <v>115</v>
      </c>
      <c r="H140" s="5" t="s">
        <v>29</v>
      </c>
      <c r="I140" s="5" t="s">
        <v>30</v>
      </c>
      <c r="J140" s="5">
        <v>1348808400</v>
      </c>
      <c r="K140" s="5">
        <v>1349326800</v>
      </c>
      <c r="L140" s="5" t="b">
        <v>0</v>
      </c>
      <c r="M140" s="5" t="b">
        <v>0</v>
      </c>
      <c r="N140" s="5" t="s">
        <v>300</v>
      </c>
      <c r="O140" s="8">
        <f t="shared" si="0"/>
        <v>0.96</v>
      </c>
      <c r="P140" s="9">
        <f t="shared" si="2"/>
        <v>80.139130434782615</v>
      </c>
      <c r="Q140" s="5" t="str" cm="1">
        <f t="array" ref="Q140:R140">_xlfn.TEXTSPLIT(N140,"/")</f>
        <v>games</v>
      </c>
      <c r="R140" t="str">
        <v>mobile games</v>
      </c>
      <c r="S140" s="10">
        <f t="shared" ref="S140:T140" si="140">(((J140/60)/60)/24)+DATE(1970,1,1)</f>
        <v>41180.208333333336</v>
      </c>
      <c r="T140" s="10">
        <f t="shared" si="140"/>
        <v>41186.208333333336</v>
      </c>
    </row>
    <row r="141" spans="1:20" ht="15.75" customHeight="1" x14ac:dyDescent="0.25">
      <c r="A141" s="5">
        <v>139</v>
      </c>
      <c r="B141" s="6" t="s">
        <v>338</v>
      </c>
      <c r="C141" s="7" t="s">
        <v>339</v>
      </c>
      <c r="D141" s="5">
        <v>92100</v>
      </c>
      <c r="E141" s="5">
        <v>19246</v>
      </c>
      <c r="F141" s="5" t="s">
        <v>22</v>
      </c>
      <c r="G141" s="5">
        <v>326</v>
      </c>
      <c r="H141" s="5" t="s">
        <v>29</v>
      </c>
      <c r="I141" s="5" t="s">
        <v>30</v>
      </c>
      <c r="J141" s="5">
        <v>1429592400</v>
      </c>
      <c r="K141" s="5">
        <v>1430974800</v>
      </c>
      <c r="L141" s="5" t="b">
        <v>0</v>
      </c>
      <c r="M141" s="5" t="b">
        <v>1</v>
      </c>
      <c r="N141" s="5" t="s">
        <v>73</v>
      </c>
      <c r="O141" s="8">
        <f t="shared" si="0"/>
        <v>0.20896851248642778</v>
      </c>
      <c r="P141" s="9">
        <f t="shared" si="2"/>
        <v>59.036809815950917</v>
      </c>
      <c r="Q141" s="5" t="str" cm="1">
        <f t="array" ref="Q141:R141">_xlfn.TEXTSPLIT(N141,"/")</f>
        <v>technology</v>
      </c>
      <c r="R141" t="str">
        <v>wearables</v>
      </c>
      <c r="S141" s="10">
        <f t="shared" ref="S141:T141" si="141">(((J141/60)/60)/24)+DATE(1970,1,1)</f>
        <v>42115.208333333328</v>
      </c>
      <c r="T141" s="10">
        <f t="shared" si="141"/>
        <v>42131.208333333328</v>
      </c>
    </row>
    <row r="142" spans="1:20" ht="15.75" customHeight="1" x14ac:dyDescent="0.25">
      <c r="A142" s="5">
        <v>140</v>
      </c>
      <c r="B142" s="6" t="s">
        <v>340</v>
      </c>
      <c r="C142" s="7" t="s">
        <v>341</v>
      </c>
      <c r="D142" s="5">
        <v>5500</v>
      </c>
      <c r="E142" s="5">
        <v>12274</v>
      </c>
      <c r="F142" s="5" t="s">
        <v>28</v>
      </c>
      <c r="G142" s="5">
        <v>186</v>
      </c>
      <c r="H142" s="5" t="s">
        <v>29</v>
      </c>
      <c r="I142" s="5" t="s">
        <v>30</v>
      </c>
      <c r="J142" s="5">
        <v>1519538400</v>
      </c>
      <c r="K142" s="5">
        <v>1519970400</v>
      </c>
      <c r="L142" s="5" t="b">
        <v>0</v>
      </c>
      <c r="M142" s="5" t="b">
        <v>0</v>
      </c>
      <c r="N142" s="5" t="s">
        <v>50</v>
      </c>
      <c r="O142" s="8">
        <f t="shared" si="0"/>
        <v>2.2316363636363636</v>
      </c>
      <c r="P142" s="9">
        <f t="shared" si="2"/>
        <v>65.989247311827953</v>
      </c>
      <c r="Q142" s="5" t="str" cm="1">
        <f t="array" ref="Q142:R142">_xlfn.TEXTSPLIT(N142,"/")</f>
        <v>film &amp; video</v>
      </c>
      <c r="R142" t="str">
        <v>documentary</v>
      </c>
      <c r="S142" s="10">
        <f t="shared" ref="S142:T142" si="142">(((J142/60)/60)/24)+DATE(1970,1,1)</f>
        <v>43156.25</v>
      </c>
      <c r="T142" s="10">
        <f t="shared" si="142"/>
        <v>43161.25</v>
      </c>
    </row>
    <row r="143" spans="1:20" ht="15.75" customHeight="1" x14ac:dyDescent="0.25">
      <c r="A143" s="5">
        <v>141</v>
      </c>
      <c r="B143" s="6" t="s">
        <v>342</v>
      </c>
      <c r="C143" s="7" t="s">
        <v>343</v>
      </c>
      <c r="D143" s="5">
        <v>64300</v>
      </c>
      <c r="E143" s="5">
        <v>65323</v>
      </c>
      <c r="F143" s="5" t="s">
        <v>28</v>
      </c>
      <c r="G143" s="5">
        <v>1071</v>
      </c>
      <c r="H143" s="5" t="s">
        <v>29</v>
      </c>
      <c r="I143" s="5" t="s">
        <v>30</v>
      </c>
      <c r="J143" s="5">
        <v>1434085200</v>
      </c>
      <c r="K143" s="5">
        <v>1434603600</v>
      </c>
      <c r="L143" s="5" t="b">
        <v>0</v>
      </c>
      <c r="M143" s="5" t="b">
        <v>0</v>
      </c>
      <c r="N143" s="5" t="s">
        <v>36</v>
      </c>
      <c r="O143" s="8">
        <f t="shared" si="0"/>
        <v>1.0159097978227061</v>
      </c>
      <c r="P143" s="9">
        <f t="shared" si="2"/>
        <v>60.992530345471522</v>
      </c>
      <c r="Q143" s="5" t="str" cm="1">
        <f t="array" ref="Q143:R143">_xlfn.TEXTSPLIT(N143,"/")</f>
        <v>technology</v>
      </c>
      <c r="R143" t="str">
        <v>web</v>
      </c>
      <c r="S143" s="10">
        <f t="shared" ref="S143:T143" si="143">(((J143/60)/60)/24)+DATE(1970,1,1)</f>
        <v>42167.208333333328</v>
      </c>
      <c r="T143" s="10">
        <f t="shared" si="143"/>
        <v>42173.208333333328</v>
      </c>
    </row>
    <row r="144" spans="1:20" ht="15.75" customHeight="1" x14ac:dyDescent="0.25">
      <c r="A144" s="5">
        <v>142</v>
      </c>
      <c r="B144" s="6" t="s">
        <v>344</v>
      </c>
      <c r="C144" s="7" t="s">
        <v>345</v>
      </c>
      <c r="D144" s="5">
        <v>5000</v>
      </c>
      <c r="E144" s="5">
        <v>11502</v>
      </c>
      <c r="F144" s="5" t="s">
        <v>28</v>
      </c>
      <c r="G144" s="5">
        <v>117</v>
      </c>
      <c r="H144" s="5" t="s">
        <v>29</v>
      </c>
      <c r="I144" s="5" t="s">
        <v>30</v>
      </c>
      <c r="J144" s="5">
        <v>1333688400</v>
      </c>
      <c r="K144" s="5">
        <v>1337230800</v>
      </c>
      <c r="L144" s="5" t="b">
        <v>0</v>
      </c>
      <c r="M144" s="5" t="b">
        <v>0</v>
      </c>
      <c r="N144" s="5" t="s">
        <v>36</v>
      </c>
      <c r="O144" s="8">
        <f t="shared" si="0"/>
        <v>2.3003999999999998</v>
      </c>
      <c r="P144" s="9">
        <f t="shared" si="2"/>
        <v>98.307692307692307</v>
      </c>
      <c r="Q144" s="5" t="str" cm="1">
        <f t="array" ref="Q144:R144">_xlfn.TEXTSPLIT(N144,"/")</f>
        <v>technology</v>
      </c>
      <c r="R144" t="str">
        <v>web</v>
      </c>
      <c r="S144" s="10">
        <f t="shared" ref="S144:T144" si="144">(((J144/60)/60)/24)+DATE(1970,1,1)</f>
        <v>41005.208333333336</v>
      </c>
      <c r="T144" s="10">
        <f t="shared" si="144"/>
        <v>41046.208333333336</v>
      </c>
    </row>
    <row r="145" spans="1:20" ht="15.75" customHeight="1" x14ac:dyDescent="0.25">
      <c r="A145" s="5">
        <v>143</v>
      </c>
      <c r="B145" s="6" t="s">
        <v>346</v>
      </c>
      <c r="C145" s="7" t="s">
        <v>347</v>
      </c>
      <c r="D145" s="5">
        <v>5400</v>
      </c>
      <c r="E145" s="5">
        <v>7322</v>
      </c>
      <c r="F145" s="5" t="s">
        <v>28</v>
      </c>
      <c r="G145" s="5">
        <v>70</v>
      </c>
      <c r="H145" s="5" t="s">
        <v>29</v>
      </c>
      <c r="I145" s="5" t="s">
        <v>30</v>
      </c>
      <c r="J145" s="5">
        <v>1277701200</v>
      </c>
      <c r="K145" s="5">
        <v>1279429200</v>
      </c>
      <c r="L145" s="5" t="b">
        <v>0</v>
      </c>
      <c r="M145" s="5" t="b">
        <v>0</v>
      </c>
      <c r="N145" s="5" t="s">
        <v>68</v>
      </c>
      <c r="O145" s="8">
        <f t="shared" si="0"/>
        <v>1.355925925925926</v>
      </c>
      <c r="P145" s="9">
        <f t="shared" si="2"/>
        <v>104.6</v>
      </c>
      <c r="Q145" s="5" t="str" cm="1">
        <f t="array" ref="Q145:R145">_xlfn.TEXTSPLIT(N145,"/")</f>
        <v>music</v>
      </c>
      <c r="R145" t="str">
        <v>indie rock</v>
      </c>
      <c r="S145" s="10">
        <f t="shared" ref="S145:T145" si="145">(((J145/60)/60)/24)+DATE(1970,1,1)</f>
        <v>40357.208333333336</v>
      </c>
      <c r="T145" s="10">
        <f t="shared" si="145"/>
        <v>40377.208333333336</v>
      </c>
    </row>
    <row r="146" spans="1:20" ht="15.75" customHeight="1" x14ac:dyDescent="0.25">
      <c r="A146" s="5">
        <v>144</v>
      </c>
      <c r="B146" s="6" t="s">
        <v>348</v>
      </c>
      <c r="C146" s="7" t="s">
        <v>349</v>
      </c>
      <c r="D146" s="5">
        <v>9000</v>
      </c>
      <c r="E146" s="5">
        <v>11619</v>
      </c>
      <c r="F146" s="5" t="s">
        <v>28</v>
      </c>
      <c r="G146" s="5">
        <v>135</v>
      </c>
      <c r="H146" s="5" t="s">
        <v>29</v>
      </c>
      <c r="I146" s="5" t="s">
        <v>30</v>
      </c>
      <c r="J146" s="5">
        <v>1560747600</v>
      </c>
      <c r="K146" s="5">
        <v>1561438800</v>
      </c>
      <c r="L146" s="5" t="b">
        <v>0</v>
      </c>
      <c r="M146" s="5" t="b">
        <v>0</v>
      </c>
      <c r="N146" s="5" t="s">
        <v>41</v>
      </c>
      <c r="O146" s="8">
        <f t="shared" si="0"/>
        <v>1.2909999999999999</v>
      </c>
      <c r="P146" s="9">
        <f t="shared" si="2"/>
        <v>86.066666666666663</v>
      </c>
      <c r="Q146" s="5" t="str" cm="1">
        <f t="array" ref="Q146:R146">_xlfn.TEXTSPLIT(N146,"/")</f>
        <v>theater</v>
      </c>
      <c r="R146" t="str">
        <v>plays</v>
      </c>
      <c r="S146" s="10">
        <f t="shared" ref="S146:T146" si="146">(((J146/60)/60)/24)+DATE(1970,1,1)</f>
        <v>43633.208333333328</v>
      </c>
      <c r="T146" s="10">
        <f t="shared" si="146"/>
        <v>43641.208333333328</v>
      </c>
    </row>
    <row r="147" spans="1:20" ht="15.75" customHeight="1" x14ac:dyDescent="0.25">
      <c r="A147" s="5">
        <v>145</v>
      </c>
      <c r="B147" s="6" t="s">
        <v>350</v>
      </c>
      <c r="C147" s="7" t="s">
        <v>351</v>
      </c>
      <c r="D147" s="5">
        <v>25000</v>
      </c>
      <c r="E147" s="5">
        <v>59128</v>
      </c>
      <c r="F147" s="5" t="s">
        <v>28</v>
      </c>
      <c r="G147" s="5">
        <v>768</v>
      </c>
      <c r="H147" s="5" t="s">
        <v>106</v>
      </c>
      <c r="I147" s="5" t="s">
        <v>107</v>
      </c>
      <c r="J147" s="5">
        <v>1410066000</v>
      </c>
      <c r="K147" s="5">
        <v>1410498000</v>
      </c>
      <c r="L147" s="5" t="b">
        <v>0</v>
      </c>
      <c r="M147" s="5" t="b">
        <v>0</v>
      </c>
      <c r="N147" s="5" t="s">
        <v>73</v>
      </c>
      <c r="O147" s="8">
        <f t="shared" si="0"/>
        <v>2.3651200000000001</v>
      </c>
      <c r="P147" s="9">
        <f t="shared" si="2"/>
        <v>76.989583333333329</v>
      </c>
      <c r="Q147" s="5" t="str" cm="1">
        <f t="array" ref="Q147:R147">_xlfn.TEXTSPLIT(N147,"/")</f>
        <v>technology</v>
      </c>
      <c r="R147" t="str">
        <v>wearables</v>
      </c>
      <c r="S147" s="10">
        <f t="shared" ref="S147:T147" si="147">(((J147/60)/60)/24)+DATE(1970,1,1)</f>
        <v>41889.208333333336</v>
      </c>
      <c r="T147" s="10">
        <f t="shared" si="147"/>
        <v>41894.208333333336</v>
      </c>
    </row>
    <row r="148" spans="1:20" ht="15.75" customHeight="1" x14ac:dyDescent="0.25">
      <c r="A148" s="5">
        <v>146</v>
      </c>
      <c r="B148" s="6" t="s">
        <v>352</v>
      </c>
      <c r="C148" s="7" t="s">
        <v>353</v>
      </c>
      <c r="D148" s="5">
        <v>8800</v>
      </c>
      <c r="E148" s="5">
        <v>1518</v>
      </c>
      <c r="F148" s="5" t="s">
        <v>82</v>
      </c>
      <c r="G148" s="5">
        <v>51</v>
      </c>
      <c r="H148" s="5" t="s">
        <v>29</v>
      </c>
      <c r="I148" s="5" t="s">
        <v>30</v>
      </c>
      <c r="J148" s="5">
        <v>1320732000</v>
      </c>
      <c r="K148" s="5">
        <v>1322460000</v>
      </c>
      <c r="L148" s="5" t="b">
        <v>0</v>
      </c>
      <c r="M148" s="5" t="b">
        <v>0</v>
      </c>
      <c r="N148" s="5" t="s">
        <v>41</v>
      </c>
      <c r="O148" s="8">
        <f t="shared" si="0"/>
        <v>0.17249999999999999</v>
      </c>
      <c r="P148" s="9">
        <f t="shared" si="2"/>
        <v>29.764705882352942</v>
      </c>
      <c r="Q148" s="5" t="str" cm="1">
        <f t="array" ref="Q148:R148">_xlfn.TEXTSPLIT(N148,"/")</f>
        <v>theater</v>
      </c>
      <c r="R148" t="str">
        <v>plays</v>
      </c>
      <c r="S148" s="10">
        <f t="shared" ref="S148:T148" si="148">(((J148/60)/60)/24)+DATE(1970,1,1)</f>
        <v>40855.25</v>
      </c>
      <c r="T148" s="10">
        <f t="shared" si="148"/>
        <v>40875.25</v>
      </c>
    </row>
    <row r="149" spans="1:20" ht="15.75" customHeight="1" x14ac:dyDescent="0.25">
      <c r="A149" s="5">
        <v>147</v>
      </c>
      <c r="B149" s="6" t="s">
        <v>354</v>
      </c>
      <c r="C149" s="7" t="s">
        <v>355</v>
      </c>
      <c r="D149" s="5">
        <v>8300</v>
      </c>
      <c r="E149" s="5">
        <v>9337</v>
      </c>
      <c r="F149" s="5" t="s">
        <v>28</v>
      </c>
      <c r="G149" s="5">
        <v>199</v>
      </c>
      <c r="H149" s="5" t="s">
        <v>29</v>
      </c>
      <c r="I149" s="5" t="s">
        <v>30</v>
      </c>
      <c r="J149" s="5">
        <v>1465794000</v>
      </c>
      <c r="K149" s="5">
        <v>1466312400</v>
      </c>
      <c r="L149" s="5" t="b">
        <v>0</v>
      </c>
      <c r="M149" s="5" t="b">
        <v>1</v>
      </c>
      <c r="N149" s="5" t="s">
        <v>41</v>
      </c>
      <c r="O149" s="8">
        <f t="shared" si="0"/>
        <v>1.1249397590361445</v>
      </c>
      <c r="P149" s="9">
        <f t="shared" si="2"/>
        <v>46.91959798994975</v>
      </c>
      <c r="Q149" s="5" t="str" cm="1">
        <f t="array" ref="Q149:R149">_xlfn.TEXTSPLIT(N149,"/")</f>
        <v>theater</v>
      </c>
      <c r="R149" t="str">
        <v>plays</v>
      </c>
      <c r="S149" s="10">
        <f t="shared" ref="S149:T149" si="149">(((J149/60)/60)/24)+DATE(1970,1,1)</f>
        <v>42534.208333333328</v>
      </c>
      <c r="T149" s="10">
        <f t="shared" si="149"/>
        <v>42540.208333333328</v>
      </c>
    </row>
    <row r="150" spans="1:20" ht="15.75" customHeight="1" x14ac:dyDescent="0.25">
      <c r="A150" s="5">
        <v>148</v>
      </c>
      <c r="B150" s="6" t="s">
        <v>356</v>
      </c>
      <c r="C150" s="7" t="s">
        <v>357</v>
      </c>
      <c r="D150" s="5">
        <v>9300</v>
      </c>
      <c r="E150" s="5">
        <v>11255</v>
      </c>
      <c r="F150" s="5" t="s">
        <v>28</v>
      </c>
      <c r="G150" s="5">
        <v>107</v>
      </c>
      <c r="H150" s="5" t="s">
        <v>29</v>
      </c>
      <c r="I150" s="5" t="s">
        <v>30</v>
      </c>
      <c r="J150" s="5">
        <v>1500958800</v>
      </c>
      <c r="K150" s="5">
        <v>1501736400</v>
      </c>
      <c r="L150" s="5" t="b">
        <v>0</v>
      </c>
      <c r="M150" s="5" t="b">
        <v>0</v>
      </c>
      <c r="N150" s="5" t="s">
        <v>73</v>
      </c>
      <c r="O150" s="8">
        <f t="shared" si="0"/>
        <v>1.2102150537634409</v>
      </c>
      <c r="P150" s="9">
        <f t="shared" si="2"/>
        <v>105.18691588785046</v>
      </c>
      <c r="Q150" s="5" t="str" cm="1">
        <f t="array" ref="Q150:R150">_xlfn.TEXTSPLIT(N150,"/")</f>
        <v>technology</v>
      </c>
      <c r="R150" t="str">
        <v>wearables</v>
      </c>
      <c r="S150" s="10">
        <f t="shared" ref="S150:T150" si="150">(((J150/60)/60)/24)+DATE(1970,1,1)</f>
        <v>42941.208333333328</v>
      </c>
      <c r="T150" s="10">
        <f t="shared" si="150"/>
        <v>42950.208333333328</v>
      </c>
    </row>
    <row r="151" spans="1:20" ht="15.75" customHeight="1" x14ac:dyDescent="0.25">
      <c r="A151" s="5">
        <v>149</v>
      </c>
      <c r="B151" s="6" t="s">
        <v>358</v>
      </c>
      <c r="C151" s="7" t="s">
        <v>359</v>
      </c>
      <c r="D151" s="5">
        <v>6200</v>
      </c>
      <c r="E151" s="5">
        <v>13632</v>
      </c>
      <c r="F151" s="5" t="s">
        <v>28</v>
      </c>
      <c r="G151" s="5">
        <v>195</v>
      </c>
      <c r="H151" s="5" t="s">
        <v>29</v>
      </c>
      <c r="I151" s="5" t="s">
        <v>30</v>
      </c>
      <c r="J151" s="5">
        <v>1357020000</v>
      </c>
      <c r="K151" s="5">
        <v>1361512800</v>
      </c>
      <c r="L151" s="5" t="b">
        <v>0</v>
      </c>
      <c r="M151" s="5" t="b">
        <v>0</v>
      </c>
      <c r="N151" s="5" t="s">
        <v>68</v>
      </c>
      <c r="O151" s="8">
        <f t="shared" si="0"/>
        <v>2.1987096774193549</v>
      </c>
      <c r="P151" s="9">
        <f t="shared" si="2"/>
        <v>69.907692307692301</v>
      </c>
      <c r="Q151" s="5" t="str" cm="1">
        <f t="array" ref="Q151:R151">_xlfn.TEXTSPLIT(N151,"/")</f>
        <v>music</v>
      </c>
      <c r="R151" t="str">
        <v>indie rock</v>
      </c>
      <c r="S151" s="10">
        <f t="shared" ref="S151:T151" si="151">(((J151/60)/60)/24)+DATE(1970,1,1)</f>
        <v>41275.25</v>
      </c>
      <c r="T151" s="10">
        <f t="shared" si="151"/>
        <v>41327.25</v>
      </c>
    </row>
    <row r="152" spans="1:20" ht="15.75" customHeight="1" x14ac:dyDescent="0.25">
      <c r="A152" s="5">
        <v>150</v>
      </c>
      <c r="B152" s="6" t="s">
        <v>360</v>
      </c>
      <c r="C152" s="7" t="s">
        <v>361</v>
      </c>
      <c r="D152" s="5">
        <v>100</v>
      </c>
      <c r="E152" s="5">
        <v>1</v>
      </c>
      <c r="F152" s="5" t="s">
        <v>22</v>
      </c>
      <c r="G152" s="5">
        <v>1</v>
      </c>
      <c r="H152" s="5" t="s">
        <v>29</v>
      </c>
      <c r="I152" s="5" t="s">
        <v>30</v>
      </c>
      <c r="J152" s="5">
        <v>1544940000</v>
      </c>
      <c r="K152" s="5">
        <v>1545026400</v>
      </c>
      <c r="L152" s="5" t="b">
        <v>0</v>
      </c>
      <c r="M152" s="5" t="b">
        <v>0</v>
      </c>
      <c r="N152" s="5" t="s">
        <v>31</v>
      </c>
      <c r="O152" s="8">
        <f t="shared" si="0"/>
        <v>0.01</v>
      </c>
      <c r="P152" s="9">
        <f t="shared" si="2"/>
        <v>1</v>
      </c>
      <c r="Q152" s="5" t="str" cm="1">
        <f t="array" ref="Q152:R152">_xlfn.TEXTSPLIT(N152,"/")</f>
        <v>music</v>
      </c>
      <c r="R152" t="str">
        <v>rock</v>
      </c>
      <c r="S152" s="10">
        <f t="shared" ref="S152:T152" si="152">(((J152/60)/60)/24)+DATE(1970,1,1)</f>
        <v>43450.25</v>
      </c>
      <c r="T152" s="10">
        <f t="shared" si="152"/>
        <v>43451.25</v>
      </c>
    </row>
    <row r="153" spans="1:20" ht="15.75" customHeight="1" x14ac:dyDescent="0.25">
      <c r="A153" s="5">
        <v>151</v>
      </c>
      <c r="B153" s="6" t="s">
        <v>362</v>
      </c>
      <c r="C153" s="7" t="s">
        <v>363</v>
      </c>
      <c r="D153" s="5">
        <v>137200</v>
      </c>
      <c r="E153" s="5">
        <v>88037</v>
      </c>
      <c r="F153" s="5" t="s">
        <v>22</v>
      </c>
      <c r="G153" s="5">
        <v>1467</v>
      </c>
      <c r="H153" s="5" t="s">
        <v>29</v>
      </c>
      <c r="I153" s="5" t="s">
        <v>30</v>
      </c>
      <c r="J153" s="5">
        <v>1402290000</v>
      </c>
      <c r="K153" s="5">
        <v>1406696400</v>
      </c>
      <c r="L153" s="5" t="b">
        <v>0</v>
      </c>
      <c r="M153" s="5" t="b">
        <v>0</v>
      </c>
      <c r="N153" s="5" t="s">
        <v>58</v>
      </c>
      <c r="O153" s="8">
        <f t="shared" si="0"/>
        <v>0.64166909620991253</v>
      </c>
      <c r="P153" s="9">
        <f t="shared" si="2"/>
        <v>60.011588275391958</v>
      </c>
      <c r="Q153" s="5" t="str" cm="1">
        <f t="array" ref="Q153:R153">_xlfn.TEXTSPLIT(N153,"/")</f>
        <v>music</v>
      </c>
      <c r="R153" t="str">
        <v>electric music</v>
      </c>
      <c r="S153" s="10">
        <f t="shared" ref="S153:T153" si="153">(((J153/60)/60)/24)+DATE(1970,1,1)</f>
        <v>41799.208333333336</v>
      </c>
      <c r="T153" s="10">
        <f t="shared" si="153"/>
        <v>41850.208333333336</v>
      </c>
    </row>
    <row r="154" spans="1:20" ht="15.75" customHeight="1" x14ac:dyDescent="0.25">
      <c r="A154" s="5">
        <v>152</v>
      </c>
      <c r="B154" s="6" t="s">
        <v>364</v>
      </c>
      <c r="C154" s="7" t="s">
        <v>365</v>
      </c>
      <c r="D154" s="5">
        <v>41500</v>
      </c>
      <c r="E154" s="5">
        <v>175573</v>
      </c>
      <c r="F154" s="5" t="s">
        <v>28</v>
      </c>
      <c r="G154" s="5">
        <v>3376</v>
      </c>
      <c r="H154" s="5" t="s">
        <v>29</v>
      </c>
      <c r="I154" s="5" t="s">
        <v>30</v>
      </c>
      <c r="J154" s="5">
        <v>1487311200</v>
      </c>
      <c r="K154" s="5">
        <v>1487916000</v>
      </c>
      <c r="L154" s="5" t="b">
        <v>0</v>
      </c>
      <c r="M154" s="5" t="b">
        <v>0</v>
      </c>
      <c r="N154" s="5" t="s">
        <v>68</v>
      </c>
      <c r="O154" s="8">
        <f t="shared" si="0"/>
        <v>4.2306746987951804</v>
      </c>
      <c r="P154" s="9">
        <f t="shared" si="2"/>
        <v>52.006220379146917</v>
      </c>
      <c r="Q154" s="5" t="str" cm="1">
        <f t="array" ref="Q154:R154">_xlfn.TEXTSPLIT(N154,"/")</f>
        <v>music</v>
      </c>
      <c r="R154" t="str">
        <v>indie rock</v>
      </c>
      <c r="S154" s="10">
        <f t="shared" ref="S154:T154" si="154">(((J154/60)/60)/24)+DATE(1970,1,1)</f>
        <v>42783.25</v>
      </c>
      <c r="T154" s="10">
        <f t="shared" si="154"/>
        <v>42790.25</v>
      </c>
    </row>
    <row r="155" spans="1:20" ht="15.75" customHeight="1" x14ac:dyDescent="0.25">
      <c r="A155" s="5">
        <v>153</v>
      </c>
      <c r="B155" s="6" t="s">
        <v>366</v>
      </c>
      <c r="C155" s="7" t="s">
        <v>367</v>
      </c>
      <c r="D155" s="5">
        <v>189400</v>
      </c>
      <c r="E155" s="5">
        <v>176112</v>
      </c>
      <c r="F155" s="5" t="s">
        <v>22</v>
      </c>
      <c r="G155" s="5">
        <v>5681</v>
      </c>
      <c r="H155" s="5" t="s">
        <v>29</v>
      </c>
      <c r="I155" s="5" t="s">
        <v>30</v>
      </c>
      <c r="J155" s="5">
        <v>1350622800</v>
      </c>
      <c r="K155" s="5">
        <v>1351141200</v>
      </c>
      <c r="L155" s="5" t="b">
        <v>0</v>
      </c>
      <c r="M155" s="5" t="b">
        <v>0</v>
      </c>
      <c r="N155" s="5" t="s">
        <v>41</v>
      </c>
      <c r="O155" s="8">
        <f t="shared" si="0"/>
        <v>0.92984160506863778</v>
      </c>
      <c r="P155" s="9">
        <f t="shared" si="2"/>
        <v>31.000176025347649</v>
      </c>
      <c r="Q155" s="5" t="str" cm="1">
        <f t="array" ref="Q155:R155">_xlfn.TEXTSPLIT(N155,"/")</f>
        <v>theater</v>
      </c>
      <c r="R155" t="str">
        <v>plays</v>
      </c>
      <c r="S155" s="10">
        <f t="shared" ref="S155:T155" si="155">(((J155/60)/60)/24)+DATE(1970,1,1)</f>
        <v>41201.208333333336</v>
      </c>
      <c r="T155" s="10">
        <f t="shared" si="155"/>
        <v>41207.208333333336</v>
      </c>
    </row>
    <row r="156" spans="1:20" ht="15.75" customHeight="1" x14ac:dyDescent="0.25">
      <c r="A156" s="5">
        <v>154</v>
      </c>
      <c r="B156" s="6" t="s">
        <v>368</v>
      </c>
      <c r="C156" s="7" t="s">
        <v>369</v>
      </c>
      <c r="D156" s="5">
        <v>171300</v>
      </c>
      <c r="E156" s="5">
        <v>100650</v>
      </c>
      <c r="F156" s="5" t="s">
        <v>22</v>
      </c>
      <c r="G156" s="5">
        <v>1059</v>
      </c>
      <c r="H156" s="5" t="s">
        <v>29</v>
      </c>
      <c r="I156" s="5" t="s">
        <v>30</v>
      </c>
      <c r="J156" s="5">
        <v>1463029200</v>
      </c>
      <c r="K156" s="5">
        <v>1465016400</v>
      </c>
      <c r="L156" s="5" t="b">
        <v>0</v>
      </c>
      <c r="M156" s="5" t="b">
        <v>1</v>
      </c>
      <c r="N156" s="5" t="s">
        <v>68</v>
      </c>
      <c r="O156" s="8">
        <f t="shared" si="0"/>
        <v>0.58756567425569173</v>
      </c>
      <c r="P156" s="9">
        <f t="shared" si="2"/>
        <v>95.042492917847028</v>
      </c>
      <c r="Q156" s="5" t="str" cm="1">
        <f t="array" ref="Q156:R156">_xlfn.TEXTSPLIT(N156,"/")</f>
        <v>music</v>
      </c>
      <c r="R156" t="str">
        <v>indie rock</v>
      </c>
      <c r="S156" s="10">
        <f t="shared" ref="S156:T156" si="156">(((J156/60)/60)/24)+DATE(1970,1,1)</f>
        <v>42502.208333333328</v>
      </c>
      <c r="T156" s="10">
        <f t="shared" si="156"/>
        <v>42525.208333333328</v>
      </c>
    </row>
    <row r="157" spans="1:20" ht="15.75" customHeight="1" x14ac:dyDescent="0.25">
      <c r="A157" s="5">
        <v>155</v>
      </c>
      <c r="B157" s="6" t="s">
        <v>370</v>
      </c>
      <c r="C157" s="7" t="s">
        <v>371</v>
      </c>
      <c r="D157" s="5">
        <v>139500</v>
      </c>
      <c r="E157" s="5">
        <v>90706</v>
      </c>
      <c r="F157" s="5" t="s">
        <v>22</v>
      </c>
      <c r="G157" s="5">
        <v>1194</v>
      </c>
      <c r="H157" s="5" t="s">
        <v>29</v>
      </c>
      <c r="I157" s="5" t="s">
        <v>30</v>
      </c>
      <c r="J157" s="5">
        <v>1269493200</v>
      </c>
      <c r="K157" s="5">
        <v>1270789200</v>
      </c>
      <c r="L157" s="5" t="b">
        <v>0</v>
      </c>
      <c r="M157" s="5" t="b">
        <v>0</v>
      </c>
      <c r="N157" s="5" t="s">
        <v>41</v>
      </c>
      <c r="O157" s="8">
        <f t="shared" si="0"/>
        <v>0.65022222222222226</v>
      </c>
      <c r="P157" s="9">
        <f t="shared" si="2"/>
        <v>75.968174204355108</v>
      </c>
      <c r="Q157" s="5" t="str" cm="1">
        <f t="array" ref="Q157:R157">_xlfn.TEXTSPLIT(N157,"/")</f>
        <v>theater</v>
      </c>
      <c r="R157" t="str">
        <v>plays</v>
      </c>
      <c r="S157" s="10">
        <f t="shared" ref="S157:T157" si="157">(((J157/60)/60)/24)+DATE(1970,1,1)</f>
        <v>40262.208333333336</v>
      </c>
      <c r="T157" s="10">
        <f t="shared" si="157"/>
        <v>40277.208333333336</v>
      </c>
    </row>
    <row r="158" spans="1:20" ht="15.75" customHeight="1" x14ac:dyDescent="0.25">
      <c r="A158" s="5">
        <v>156</v>
      </c>
      <c r="B158" s="6" t="s">
        <v>372</v>
      </c>
      <c r="C158" s="7" t="s">
        <v>373</v>
      </c>
      <c r="D158" s="5">
        <v>36400</v>
      </c>
      <c r="E158" s="5">
        <v>26914</v>
      </c>
      <c r="F158" s="5" t="s">
        <v>82</v>
      </c>
      <c r="G158" s="5">
        <v>379</v>
      </c>
      <c r="H158" s="5" t="s">
        <v>34</v>
      </c>
      <c r="I158" s="5" t="s">
        <v>35</v>
      </c>
      <c r="J158" s="5">
        <v>1570251600</v>
      </c>
      <c r="K158" s="5">
        <v>1572325200</v>
      </c>
      <c r="L158" s="5" t="b">
        <v>0</v>
      </c>
      <c r="M158" s="5" t="b">
        <v>0</v>
      </c>
      <c r="N158" s="5" t="s">
        <v>31</v>
      </c>
      <c r="O158" s="8">
        <f t="shared" si="0"/>
        <v>0.73939560439560437</v>
      </c>
      <c r="P158" s="9">
        <f t="shared" si="2"/>
        <v>71.013192612137203</v>
      </c>
      <c r="Q158" s="5" t="str" cm="1">
        <f t="array" ref="Q158:R158">_xlfn.TEXTSPLIT(N158,"/")</f>
        <v>music</v>
      </c>
      <c r="R158" t="str">
        <v>rock</v>
      </c>
      <c r="S158" s="10">
        <f t="shared" ref="S158:T158" si="158">(((J158/60)/60)/24)+DATE(1970,1,1)</f>
        <v>43743.208333333328</v>
      </c>
      <c r="T158" s="10">
        <f t="shared" si="158"/>
        <v>43767.208333333328</v>
      </c>
    </row>
    <row r="159" spans="1:20" ht="15.75" customHeight="1" x14ac:dyDescent="0.25">
      <c r="A159" s="5">
        <v>157</v>
      </c>
      <c r="B159" s="6" t="s">
        <v>374</v>
      </c>
      <c r="C159" s="7" t="s">
        <v>375</v>
      </c>
      <c r="D159" s="5">
        <v>4200</v>
      </c>
      <c r="E159" s="5">
        <v>2212</v>
      </c>
      <c r="F159" s="5" t="s">
        <v>22</v>
      </c>
      <c r="G159" s="5">
        <v>30</v>
      </c>
      <c r="H159" s="5" t="s">
        <v>34</v>
      </c>
      <c r="I159" s="5" t="s">
        <v>35</v>
      </c>
      <c r="J159" s="5">
        <v>1388383200</v>
      </c>
      <c r="K159" s="5">
        <v>1389420000</v>
      </c>
      <c r="L159" s="5" t="b">
        <v>0</v>
      </c>
      <c r="M159" s="5" t="b">
        <v>0</v>
      </c>
      <c r="N159" s="5" t="s">
        <v>130</v>
      </c>
      <c r="O159" s="8">
        <f t="shared" si="0"/>
        <v>0.52666666666666662</v>
      </c>
      <c r="P159" s="9">
        <f t="shared" si="2"/>
        <v>73.733333333333334</v>
      </c>
      <c r="Q159" s="5" t="str" cm="1">
        <f t="array" ref="Q159:R159">_xlfn.TEXTSPLIT(N159,"/")</f>
        <v>photography</v>
      </c>
      <c r="R159" t="str">
        <v>photography books</v>
      </c>
      <c r="S159" s="10">
        <f t="shared" ref="S159:T159" si="159">(((J159/60)/60)/24)+DATE(1970,1,1)</f>
        <v>41638.25</v>
      </c>
      <c r="T159" s="10">
        <f t="shared" si="159"/>
        <v>41650.25</v>
      </c>
    </row>
    <row r="160" spans="1:20" ht="15.75" customHeight="1" x14ac:dyDescent="0.25">
      <c r="A160" s="5">
        <v>158</v>
      </c>
      <c r="B160" s="6" t="s">
        <v>376</v>
      </c>
      <c r="C160" s="7" t="s">
        <v>377</v>
      </c>
      <c r="D160" s="5">
        <v>2100</v>
      </c>
      <c r="E160" s="5">
        <v>4640</v>
      </c>
      <c r="F160" s="5" t="s">
        <v>28</v>
      </c>
      <c r="G160" s="5">
        <v>41</v>
      </c>
      <c r="H160" s="5" t="s">
        <v>29</v>
      </c>
      <c r="I160" s="5" t="s">
        <v>30</v>
      </c>
      <c r="J160" s="5">
        <v>1449554400</v>
      </c>
      <c r="K160" s="5">
        <v>1449640800</v>
      </c>
      <c r="L160" s="5" t="b">
        <v>0</v>
      </c>
      <c r="M160" s="5" t="b">
        <v>0</v>
      </c>
      <c r="N160" s="5" t="s">
        <v>31</v>
      </c>
      <c r="O160" s="8">
        <f t="shared" si="0"/>
        <v>2.2095238095238097</v>
      </c>
      <c r="P160" s="9">
        <f t="shared" si="2"/>
        <v>113.17073170731707</v>
      </c>
      <c r="Q160" s="5" t="str" cm="1">
        <f t="array" ref="Q160:R160">_xlfn.TEXTSPLIT(N160,"/")</f>
        <v>music</v>
      </c>
      <c r="R160" t="str">
        <v>rock</v>
      </c>
      <c r="S160" s="10">
        <f t="shared" ref="S160:T160" si="160">(((J160/60)/60)/24)+DATE(1970,1,1)</f>
        <v>42346.25</v>
      </c>
      <c r="T160" s="10">
        <f t="shared" si="160"/>
        <v>42347.25</v>
      </c>
    </row>
    <row r="161" spans="1:20" ht="15.75" customHeight="1" x14ac:dyDescent="0.25">
      <c r="A161" s="5">
        <v>159</v>
      </c>
      <c r="B161" s="6" t="s">
        <v>378</v>
      </c>
      <c r="C161" s="7" t="s">
        <v>379</v>
      </c>
      <c r="D161" s="5">
        <v>191200</v>
      </c>
      <c r="E161" s="5">
        <v>191222</v>
      </c>
      <c r="F161" s="5" t="s">
        <v>28</v>
      </c>
      <c r="G161" s="5">
        <v>1821</v>
      </c>
      <c r="H161" s="5" t="s">
        <v>29</v>
      </c>
      <c r="I161" s="5" t="s">
        <v>30</v>
      </c>
      <c r="J161" s="5">
        <v>1553662800</v>
      </c>
      <c r="K161" s="5">
        <v>1555218000</v>
      </c>
      <c r="L161" s="5" t="b">
        <v>0</v>
      </c>
      <c r="M161" s="5" t="b">
        <v>1</v>
      </c>
      <c r="N161" s="5" t="s">
        <v>41</v>
      </c>
      <c r="O161" s="8">
        <f t="shared" si="0"/>
        <v>1.0001150627615063</v>
      </c>
      <c r="P161" s="9">
        <f t="shared" si="2"/>
        <v>105.00933552992861</v>
      </c>
      <c r="Q161" s="5" t="str" cm="1">
        <f t="array" ref="Q161:R161">_xlfn.TEXTSPLIT(N161,"/")</f>
        <v>theater</v>
      </c>
      <c r="R161" t="str">
        <v>plays</v>
      </c>
      <c r="S161" s="10">
        <f t="shared" ref="S161:T161" si="161">(((J161/60)/60)/24)+DATE(1970,1,1)</f>
        <v>43551.208333333328</v>
      </c>
      <c r="T161" s="10">
        <f t="shared" si="161"/>
        <v>43569.208333333328</v>
      </c>
    </row>
    <row r="162" spans="1:20" ht="15.75" customHeight="1" x14ac:dyDescent="0.25">
      <c r="A162" s="5">
        <v>160</v>
      </c>
      <c r="B162" s="6" t="s">
        <v>380</v>
      </c>
      <c r="C162" s="7" t="s">
        <v>381</v>
      </c>
      <c r="D162" s="5">
        <v>8000</v>
      </c>
      <c r="E162" s="5">
        <v>12985</v>
      </c>
      <c r="F162" s="5" t="s">
        <v>28</v>
      </c>
      <c r="G162" s="5">
        <v>164</v>
      </c>
      <c r="H162" s="5" t="s">
        <v>29</v>
      </c>
      <c r="I162" s="5" t="s">
        <v>30</v>
      </c>
      <c r="J162" s="5">
        <v>1556341200</v>
      </c>
      <c r="K162" s="5">
        <v>1557723600</v>
      </c>
      <c r="L162" s="5" t="b">
        <v>0</v>
      </c>
      <c r="M162" s="5" t="b">
        <v>0</v>
      </c>
      <c r="N162" s="5" t="s">
        <v>73</v>
      </c>
      <c r="O162" s="8">
        <f t="shared" si="0"/>
        <v>1.6231249999999999</v>
      </c>
      <c r="P162" s="9">
        <f t="shared" si="2"/>
        <v>79.176829268292678</v>
      </c>
      <c r="Q162" s="5" t="str" cm="1">
        <f t="array" ref="Q162:R162">_xlfn.TEXTSPLIT(N162,"/")</f>
        <v>technology</v>
      </c>
      <c r="R162" t="str">
        <v>wearables</v>
      </c>
      <c r="S162" s="10">
        <f t="shared" ref="S162:T162" si="162">(((J162/60)/60)/24)+DATE(1970,1,1)</f>
        <v>43582.208333333328</v>
      </c>
      <c r="T162" s="10">
        <f t="shared" si="162"/>
        <v>43598.208333333328</v>
      </c>
    </row>
    <row r="163" spans="1:20" ht="15.75" customHeight="1" x14ac:dyDescent="0.25">
      <c r="A163" s="5">
        <v>161</v>
      </c>
      <c r="B163" s="6" t="s">
        <v>382</v>
      </c>
      <c r="C163" s="7" t="s">
        <v>383</v>
      </c>
      <c r="D163" s="5">
        <v>5500</v>
      </c>
      <c r="E163" s="5">
        <v>4300</v>
      </c>
      <c r="F163" s="5" t="s">
        <v>22</v>
      </c>
      <c r="G163" s="5">
        <v>75</v>
      </c>
      <c r="H163" s="5" t="s">
        <v>29</v>
      </c>
      <c r="I163" s="5" t="s">
        <v>30</v>
      </c>
      <c r="J163" s="5">
        <v>1442984400</v>
      </c>
      <c r="K163" s="5">
        <v>1443502800</v>
      </c>
      <c r="L163" s="5" t="b">
        <v>0</v>
      </c>
      <c r="M163" s="5" t="b">
        <v>1</v>
      </c>
      <c r="N163" s="5" t="s">
        <v>36</v>
      </c>
      <c r="O163" s="8">
        <f t="shared" si="0"/>
        <v>0.78181818181818186</v>
      </c>
      <c r="P163" s="9">
        <f t="shared" si="2"/>
        <v>57.333333333333336</v>
      </c>
      <c r="Q163" s="5" t="str" cm="1">
        <f t="array" ref="Q163:R163">_xlfn.TEXTSPLIT(N163,"/")</f>
        <v>technology</v>
      </c>
      <c r="R163" t="str">
        <v>web</v>
      </c>
      <c r="S163" s="10">
        <f t="shared" ref="S163:T163" si="163">(((J163/60)/60)/24)+DATE(1970,1,1)</f>
        <v>42270.208333333328</v>
      </c>
      <c r="T163" s="10">
        <f t="shared" si="163"/>
        <v>42276.208333333328</v>
      </c>
    </row>
    <row r="164" spans="1:20" ht="15.75" customHeight="1" x14ac:dyDescent="0.25">
      <c r="A164" s="5">
        <v>162</v>
      </c>
      <c r="B164" s="6" t="s">
        <v>384</v>
      </c>
      <c r="C164" s="7" t="s">
        <v>385</v>
      </c>
      <c r="D164" s="5">
        <v>6100</v>
      </c>
      <c r="E164" s="5">
        <v>9134</v>
      </c>
      <c r="F164" s="5" t="s">
        <v>28</v>
      </c>
      <c r="G164" s="5">
        <v>157</v>
      </c>
      <c r="H164" s="5" t="s">
        <v>106</v>
      </c>
      <c r="I164" s="5" t="s">
        <v>107</v>
      </c>
      <c r="J164" s="5">
        <v>1544248800</v>
      </c>
      <c r="K164" s="5">
        <v>1546840800</v>
      </c>
      <c r="L164" s="5" t="b">
        <v>0</v>
      </c>
      <c r="M164" s="5" t="b">
        <v>0</v>
      </c>
      <c r="N164" s="5" t="s">
        <v>31</v>
      </c>
      <c r="O164" s="8">
        <f t="shared" si="0"/>
        <v>1.4973770491803278</v>
      </c>
      <c r="P164" s="9">
        <f t="shared" si="2"/>
        <v>58.178343949044589</v>
      </c>
      <c r="Q164" s="5" t="str" cm="1">
        <f t="array" ref="Q164:R164">_xlfn.TEXTSPLIT(N164,"/")</f>
        <v>music</v>
      </c>
      <c r="R164" t="str">
        <v>rock</v>
      </c>
      <c r="S164" s="10">
        <f t="shared" ref="S164:T164" si="164">(((J164/60)/60)/24)+DATE(1970,1,1)</f>
        <v>43442.25</v>
      </c>
      <c r="T164" s="10">
        <f t="shared" si="164"/>
        <v>43472.25</v>
      </c>
    </row>
    <row r="165" spans="1:20" ht="15.75" customHeight="1" x14ac:dyDescent="0.25">
      <c r="A165" s="5">
        <v>163</v>
      </c>
      <c r="B165" s="6" t="s">
        <v>386</v>
      </c>
      <c r="C165" s="7" t="s">
        <v>387</v>
      </c>
      <c r="D165" s="5">
        <v>3500</v>
      </c>
      <c r="E165" s="5">
        <v>8864</v>
      </c>
      <c r="F165" s="5" t="s">
        <v>28</v>
      </c>
      <c r="G165" s="5">
        <v>246</v>
      </c>
      <c r="H165" s="5" t="s">
        <v>29</v>
      </c>
      <c r="I165" s="5" t="s">
        <v>30</v>
      </c>
      <c r="J165" s="5">
        <v>1508475600</v>
      </c>
      <c r="K165" s="5">
        <v>1512712800</v>
      </c>
      <c r="L165" s="5" t="b">
        <v>0</v>
      </c>
      <c r="M165" s="5" t="b">
        <v>1</v>
      </c>
      <c r="N165" s="5" t="s">
        <v>130</v>
      </c>
      <c r="O165" s="8">
        <f t="shared" si="0"/>
        <v>2.5325714285714285</v>
      </c>
      <c r="P165" s="9">
        <f t="shared" si="2"/>
        <v>36.032520325203251</v>
      </c>
      <c r="Q165" s="5" t="str" cm="1">
        <f t="array" ref="Q165:R165">_xlfn.TEXTSPLIT(N165,"/")</f>
        <v>photography</v>
      </c>
      <c r="R165" t="str">
        <v>photography books</v>
      </c>
      <c r="S165" s="10">
        <f t="shared" ref="S165:T165" si="165">(((J165/60)/60)/24)+DATE(1970,1,1)</f>
        <v>43028.208333333328</v>
      </c>
      <c r="T165" s="10">
        <f t="shared" si="165"/>
        <v>43077.25</v>
      </c>
    </row>
    <row r="166" spans="1:20" ht="15.75" customHeight="1" x14ac:dyDescent="0.25">
      <c r="A166" s="5">
        <v>164</v>
      </c>
      <c r="B166" s="6" t="s">
        <v>388</v>
      </c>
      <c r="C166" s="7" t="s">
        <v>389</v>
      </c>
      <c r="D166" s="5">
        <v>150500</v>
      </c>
      <c r="E166" s="5">
        <v>150755</v>
      </c>
      <c r="F166" s="5" t="s">
        <v>28</v>
      </c>
      <c r="G166" s="5">
        <v>1396</v>
      </c>
      <c r="H166" s="5" t="s">
        <v>29</v>
      </c>
      <c r="I166" s="5" t="s">
        <v>30</v>
      </c>
      <c r="J166" s="5">
        <v>1507438800</v>
      </c>
      <c r="K166" s="5">
        <v>1507525200</v>
      </c>
      <c r="L166" s="5" t="b">
        <v>0</v>
      </c>
      <c r="M166" s="5" t="b">
        <v>0</v>
      </c>
      <c r="N166" s="5" t="s">
        <v>41</v>
      </c>
      <c r="O166" s="8">
        <f t="shared" si="0"/>
        <v>1.0016943521594683</v>
      </c>
      <c r="P166" s="9">
        <f t="shared" si="2"/>
        <v>107.99068767908309</v>
      </c>
      <c r="Q166" s="5" t="str" cm="1">
        <f t="array" ref="Q166:R166">_xlfn.TEXTSPLIT(N166,"/")</f>
        <v>theater</v>
      </c>
      <c r="R166" t="str">
        <v>plays</v>
      </c>
      <c r="S166" s="10">
        <f t="shared" ref="S166:T166" si="166">(((J166/60)/60)/24)+DATE(1970,1,1)</f>
        <v>43016.208333333328</v>
      </c>
      <c r="T166" s="10">
        <f t="shared" si="166"/>
        <v>43017.208333333328</v>
      </c>
    </row>
    <row r="167" spans="1:20" ht="15.75" customHeight="1" x14ac:dyDescent="0.25">
      <c r="A167" s="5">
        <v>165</v>
      </c>
      <c r="B167" s="6" t="s">
        <v>390</v>
      </c>
      <c r="C167" s="7" t="s">
        <v>391</v>
      </c>
      <c r="D167" s="5">
        <v>90400</v>
      </c>
      <c r="E167" s="5">
        <v>110279</v>
      </c>
      <c r="F167" s="5" t="s">
        <v>28</v>
      </c>
      <c r="G167" s="5">
        <v>2506</v>
      </c>
      <c r="H167" s="5" t="s">
        <v>29</v>
      </c>
      <c r="I167" s="5" t="s">
        <v>30</v>
      </c>
      <c r="J167" s="5">
        <v>1501563600</v>
      </c>
      <c r="K167" s="5">
        <v>1504328400</v>
      </c>
      <c r="L167" s="5" t="b">
        <v>0</v>
      </c>
      <c r="M167" s="5" t="b">
        <v>0</v>
      </c>
      <c r="N167" s="5" t="s">
        <v>36</v>
      </c>
      <c r="O167" s="8">
        <f t="shared" si="0"/>
        <v>1.2199004424778761</v>
      </c>
      <c r="P167" s="9">
        <f t="shared" si="2"/>
        <v>44.005985634477256</v>
      </c>
      <c r="Q167" s="5" t="str" cm="1">
        <f t="array" ref="Q167:R167">_xlfn.TEXTSPLIT(N167,"/")</f>
        <v>technology</v>
      </c>
      <c r="R167" t="str">
        <v>web</v>
      </c>
      <c r="S167" s="10">
        <f t="shared" ref="S167:T167" si="167">(((J167/60)/60)/24)+DATE(1970,1,1)</f>
        <v>42948.208333333328</v>
      </c>
      <c r="T167" s="10">
        <f t="shared" si="167"/>
        <v>42980.208333333328</v>
      </c>
    </row>
    <row r="168" spans="1:20" ht="15.75" customHeight="1" x14ac:dyDescent="0.25">
      <c r="A168" s="5">
        <v>166</v>
      </c>
      <c r="B168" s="6" t="s">
        <v>392</v>
      </c>
      <c r="C168" s="7" t="s">
        <v>393</v>
      </c>
      <c r="D168" s="5">
        <v>9800</v>
      </c>
      <c r="E168" s="5">
        <v>13439</v>
      </c>
      <c r="F168" s="5" t="s">
        <v>28</v>
      </c>
      <c r="G168" s="5">
        <v>244</v>
      </c>
      <c r="H168" s="5" t="s">
        <v>29</v>
      </c>
      <c r="I168" s="5" t="s">
        <v>30</v>
      </c>
      <c r="J168" s="5">
        <v>1292997600</v>
      </c>
      <c r="K168" s="5">
        <v>1293343200</v>
      </c>
      <c r="L168" s="5" t="b">
        <v>0</v>
      </c>
      <c r="M168" s="5" t="b">
        <v>0</v>
      </c>
      <c r="N168" s="5" t="s">
        <v>130</v>
      </c>
      <c r="O168" s="8">
        <f t="shared" si="0"/>
        <v>1.3713265306122449</v>
      </c>
      <c r="P168" s="9">
        <f t="shared" si="2"/>
        <v>55.077868852459019</v>
      </c>
      <c r="Q168" s="5" t="str" cm="1">
        <f t="array" ref="Q168:R168">_xlfn.TEXTSPLIT(N168,"/")</f>
        <v>photography</v>
      </c>
      <c r="R168" t="str">
        <v>photography books</v>
      </c>
      <c r="S168" s="10">
        <f t="shared" ref="S168:T168" si="168">(((J168/60)/60)/24)+DATE(1970,1,1)</f>
        <v>40534.25</v>
      </c>
      <c r="T168" s="10">
        <f t="shared" si="168"/>
        <v>40538.25</v>
      </c>
    </row>
    <row r="169" spans="1:20" ht="15.75" customHeight="1" x14ac:dyDescent="0.25">
      <c r="A169" s="5">
        <v>167</v>
      </c>
      <c r="B169" s="6" t="s">
        <v>394</v>
      </c>
      <c r="C169" s="7" t="s">
        <v>395</v>
      </c>
      <c r="D169" s="5">
        <v>2600</v>
      </c>
      <c r="E169" s="5">
        <v>10804</v>
      </c>
      <c r="F169" s="5" t="s">
        <v>28</v>
      </c>
      <c r="G169" s="5">
        <v>146</v>
      </c>
      <c r="H169" s="5" t="s">
        <v>34</v>
      </c>
      <c r="I169" s="5" t="s">
        <v>35</v>
      </c>
      <c r="J169" s="5">
        <v>1370840400</v>
      </c>
      <c r="K169" s="5">
        <v>1371704400</v>
      </c>
      <c r="L169" s="5" t="b">
        <v>0</v>
      </c>
      <c r="M169" s="5" t="b">
        <v>0</v>
      </c>
      <c r="N169" s="5" t="s">
        <v>41</v>
      </c>
      <c r="O169" s="8">
        <f t="shared" si="0"/>
        <v>4.155384615384615</v>
      </c>
      <c r="P169" s="9">
        <f t="shared" si="2"/>
        <v>74</v>
      </c>
      <c r="Q169" s="5" t="str" cm="1">
        <f t="array" ref="Q169:R169">_xlfn.TEXTSPLIT(N169,"/")</f>
        <v>theater</v>
      </c>
      <c r="R169" t="str">
        <v>plays</v>
      </c>
      <c r="S169" s="10">
        <f t="shared" ref="S169:T169" si="169">(((J169/60)/60)/24)+DATE(1970,1,1)</f>
        <v>41435.208333333336</v>
      </c>
      <c r="T169" s="10">
        <f t="shared" si="169"/>
        <v>41445.208333333336</v>
      </c>
    </row>
    <row r="170" spans="1:20" ht="15.75" customHeight="1" x14ac:dyDescent="0.25">
      <c r="A170" s="5">
        <v>168</v>
      </c>
      <c r="B170" s="6" t="s">
        <v>396</v>
      </c>
      <c r="C170" s="7" t="s">
        <v>397</v>
      </c>
      <c r="D170" s="5">
        <v>128100</v>
      </c>
      <c r="E170" s="5">
        <v>40107</v>
      </c>
      <c r="F170" s="5" t="s">
        <v>22</v>
      </c>
      <c r="G170" s="5">
        <v>955</v>
      </c>
      <c r="H170" s="5" t="s">
        <v>44</v>
      </c>
      <c r="I170" s="5" t="s">
        <v>45</v>
      </c>
      <c r="J170" s="5">
        <v>1550815200</v>
      </c>
      <c r="K170" s="5">
        <v>1552798800</v>
      </c>
      <c r="L170" s="5" t="b">
        <v>0</v>
      </c>
      <c r="M170" s="5" t="b">
        <v>1</v>
      </c>
      <c r="N170" s="5" t="s">
        <v>68</v>
      </c>
      <c r="O170" s="8">
        <f t="shared" si="0"/>
        <v>0.3130913348946136</v>
      </c>
      <c r="P170" s="9">
        <f t="shared" si="2"/>
        <v>41.996858638743454</v>
      </c>
      <c r="Q170" s="5" t="str" cm="1">
        <f t="array" ref="Q170:R170">_xlfn.TEXTSPLIT(N170,"/")</f>
        <v>music</v>
      </c>
      <c r="R170" t="str">
        <v>indie rock</v>
      </c>
      <c r="S170" s="10">
        <f t="shared" ref="S170:T170" si="170">(((J170/60)/60)/24)+DATE(1970,1,1)</f>
        <v>43518.25</v>
      </c>
      <c r="T170" s="10">
        <f t="shared" si="170"/>
        <v>43541.208333333328</v>
      </c>
    </row>
    <row r="171" spans="1:20" ht="15.75" customHeight="1" x14ac:dyDescent="0.25">
      <c r="A171" s="5">
        <v>169</v>
      </c>
      <c r="B171" s="6" t="s">
        <v>398</v>
      </c>
      <c r="C171" s="7" t="s">
        <v>399</v>
      </c>
      <c r="D171" s="5">
        <v>23300</v>
      </c>
      <c r="E171" s="5">
        <v>98811</v>
      </c>
      <c r="F171" s="5" t="s">
        <v>28</v>
      </c>
      <c r="G171" s="5">
        <v>1267</v>
      </c>
      <c r="H171" s="5" t="s">
        <v>29</v>
      </c>
      <c r="I171" s="5" t="s">
        <v>30</v>
      </c>
      <c r="J171" s="5">
        <v>1339909200</v>
      </c>
      <c r="K171" s="5">
        <v>1342328400</v>
      </c>
      <c r="L171" s="5" t="b">
        <v>0</v>
      </c>
      <c r="M171" s="5" t="b">
        <v>1</v>
      </c>
      <c r="N171" s="5" t="s">
        <v>108</v>
      </c>
      <c r="O171" s="8">
        <f t="shared" si="0"/>
        <v>4.240815450643777</v>
      </c>
      <c r="P171" s="9">
        <f t="shared" si="2"/>
        <v>77.988161010260455</v>
      </c>
      <c r="Q171" s="5" t="str" cm="1">
        <f t="array" ref="Q171:R171">_xlfn.TEXTSPLIT(N171,"/")</f>
        <v>film &amp; video</v>
      </c>
      <c r="R171" t="str">
        <v>shorts</v>
      </c>
      <c r="S171" s="10">
        <f t="shared" ref="S171:T171" si="171">(((J171/60)/60)/24)+DATE(1970,1,1)</f>
        <v>41077.208333333336</v>
      </c>
      <c r="T171" s="10">
        <f t="shared" si="171"/>
        <v>41105.208333333336</v>
      </c>
    </row>
    <row r="172" spans="1:20" ht="15.75" customHeight="1" x14ac:dyDescent="0.25">
      <c r="A172" s="5">
        <v>170</v>
      </c>
      <c r="B172" s="6" t="s">
        <v>400</v>
      </c>
      <c r="C172" s="7" t="s">
        <v>401</v>
      </c>
      <c r="D172" s="5">
        <v>188100</v>
      </c>
      <c r="E172" s="5">
        <v>5528</v>
      </c>
      <c r="F172" s="5" t="s">
        <v>22</v>
      </c>
      <c r="G172" s="5">
        <v>67</v>
      </c>
      <c r="H172" s="5" t="s">
        <v>29</v>
      </c>
      <c r="I172" s="5" t="s">
        <v>30</v>
      </c>
      <c r="J172" s="5">
        <v>1501736400</v>
      </c>
      <c r="K172" s="5">
        <v>1502341200</v>
      </c>
      <c r="L172" s="5" t="b">
        <v>0</v>
      </c>
      <c r="M172" s="5" t="b">
        <v>0</v>
      </c>
      <c r="N172" s="5" t="s">
        <v>68</v>
      </c>
      <c r="O172" s="8">
        <f t="shared" si="0"/>
        <v>2.9388623072833599E-2</v>
      </c>
      <c r="P172" s="9">
        <f t="shared" si="2"/>
        <v>82.507462686567166</v>
      </c>
      <c r="Q172" s="5" t="str" cm="1">
        <f t="array" ref="Q172:R172">_xlfn.TEXTSPLIT(N172,"/")</f>
        <v>music</v>
      </c>
      <c r="R172" t="str">
        <v>indie rock</v>
      </c>
      <c r="S172" s="10">
        <f t="shared" ref="S172:T172" si="172">(((J172/60)/60)/24)+DATE(1970,1,1)</f>
        <v>42950.208333333328</v>
      </c>
      <c r="T172" s="10">
        <f t="shared" si="172"/>
        <v>42957.208333333328</v>
      </c>
    </row>
    <row r="173" spans="1:20" ht="15.75" customHeight="1" x14ac:dyDescent="0.25">
      <c r="A173" s="5">
        <v>171</v>
      </c>
      <c r="B173" s="6" t="s">
        <v>402</v>
      </c>
      <c r="C173" s="7" t="s">
        <v>403</v>
      </c>
      <c r="D173" s="5">
        <v>4900</v>
      </c>
      <c r="E173" s="5">
        <v>521</v>
      </c>
      <c r="F173" s="5" t="s">
        <v>22</v>
      </c>
      <c r="G173" s="5">
        <v>5</v>
      </c>
      <c r="H173" s="5" t="s">
        <v>29</v>
      </c>
      <c r="I173" s="5" t="s">
        <v>30</v>
      </c>
      <c r="J173" s="5">
        <v>1395291600</v>
      </c>
      <c r="K173" s="5">
        <v>1397192400</v>
      </c>
      <c r="L173" s="5" t="b">
        <v>0</v>
      </c>
      <c r="M173" s="5" t="b">
        <v>0</v>
      </c>
      <c r="N173" s="5" t="s">
        <v>214</v>
      </c>
      <c r="O173" s="8">
        <f t="shared" si="0"/>
        <v>0.1063265306122449</v>
      </c>
      <c r="P173" s="9">
        <f t="shared" si="2"/>
        <v>104.2</v>
      </c>
      <c r="Q173" s="5" t="str" cm="1">
        <f t="array" ref="Q173:R173">_xlfn.TEXTSPLIT(N173,"/")</f>
        <v>publishing</v>
      </c>
      <c r="R173" t="str">
        <v>translations</v>
      </c>
      <c r="S173" s="10">
        <f t="shared" ref="S173:T173" si="173">(((J173/60)/60)/24)+DATE(1970,1,1)</f>
        <v>41718.208333333336</v>
      </c>
      <c r="T173" s="10">
        <f t="shared" si="173"/>
        <v>41740.208333333336</v>
      </c>
    </row>
    <row r="174" spans="1:20" ht="15.75" customHeight="1" x14ac:dyDescent="0.25">
      <c r="A174" s="5">
        <v>172</v>
      </c>
      <c r="B174" s="6" t="s">
        <v>404</v>
      </c>
      <c r="C174" s="7" t="s">
        <v>405</v>
      </c>
      <c r="D174" s="5">
        <v>800</v>
      </c>
      <c r="E174" s="5">
        <v>663</v>
      </c>
      <c r="F174" s="5" t="s">
        <v>22</v>
      </c>
      <c r="G174" s="5">
        <v>26</v>
      </c>
      <c r="H174" s="5" t="s">
        <v>29</v>
      </c>
      <c r="I174" s="5" t="s">
        <v>30</v>
      </c>
      <c r="J174" s="5">
        <v>1405746000</v>
      </c>
      <c r="K174" s="5">
        <v>1407042000</v>
      </c>
      <c r="L174" s="5" t="b">
        <v>0</v>
      </c>
      <c r="M174" s="5" t="b">
        <v>1</v>
      </c>
      <c r="N174" s="5" t="s">
        <v>50</v>
      </c>
      <c r="O174" s="8">
        <f t="shared" si="0"/>
        <v>0.82874999999999999</v>
      </c>
      <c r="P174" s="9">
        <f t="shared" si="2"/>
        <v>25.5</v>
      </c>
      <c r="Q174" s="5" t="str" cm="1">
        <f t="array" ref="Q174:R174">_xlfn.TEXTSPLIT(N174,"/")</f>
        <v>film &amp; video</v>
      </c>
      <c r="R174" t="str">
        <v>documentary</v>
      </c>
      <c r="S174" s="10">
        <f t="shared" ref="S174:T174" si="174">(((J174/60)/60)/24)+DATE(1970,1,1)</f>
        <v>41839.208333333336</v>
      </c>
      <c r="T174" s="10">
        <f t="shared" si="174"/>
        <v>41854.208333333336</v>
      </c>
    </row>
    <row r="175" spans="1:20" ht="15.75" customHeight="1" x14ac:dyDescent="0.25">
      <c r="A175" s="5">
        <v>173</v>
      </c>
      <c r="B175" s="6" t="s">
        <v>406</v>
      </c>
      <c r="C175" s="7" t="s">
        <v>407</v>
      </c>
      <c r="D175" s="5">
        <v>96700</v>
      </c>
      <c r="E175" s="5">
        <v>157635</v>
      </c>
      <c r="F175" s="5" t="s">
        <v>28</v>
      </c>
      <c r="G175" s="5">
        <v>1561</v>
      </c>
      <c r="H175" s="5" t="s">
        <v>29</v>
      </c>
      <c r="I175" s="5" t="s">
        <v>30</v>
      </c>
      <c r="J175" s="5">
        <v>1368853200</v>
      </c>
      <c r="K175" s="5">
        <v>1369371600</v>
      </c>
      <c r="L175" s="5" t="b">
        <v>0</v>
      </c>
      <c r="M175" s="5" t="b">
        <v>0</v>
      </c>
      <c r="N175" s="5" t="s">
        <v>41</v>
      </c>
      <c r="O175" s="8">
        <f t="shared" si="0"/>
        <v>1.6301447776628748</v>
      </c>
      <c r="P175" s="9">
        <f t="shared" si="2"/>
        <v>100.98334401024984</v>
      </c>
      <c r="Q175" s="5" t="str" cm="1">
        <f t="array" ref="Q175:R175">_xlfn.TEXTSPLIT(N175,"/")</f>
        <v>theater</v>
      </c>
      <c r="R175" t="str">
        <v>plays</v>
      </c>
      <c r="S175" s="10">
        <f t="shared" ref="S175:T175" si="175">(((J175/60)/60)/24)+DATE(1970,1,1)</f>
        <v>41412.208333333336</v>
      </c>
      <c r="T175" s="10">
        <f t="shared" si="175"/>
        <v>41418.208333333336</v>
      </c>
    </row>
    <row r="176" spans="1:20" ht="15.75" customHeight="1" x14ac:dyDescent="0.25">
      <c r="A176" s="5">
        <v>174</v>
      </c>
      <c r="B176" s="6" t="s">
        <v>408</v>
      </c>
      <c r="C176" s="7" t="s">
        <v>409</v>
      </c>
      <c r="D176" s="5">
        <v>600</v>
      </c>
      <c r="E176" s="5">
        <v>5368</v>
      </c>
      <c r="F176" s="5" t="s">
        <v>28</v>
      </c>
      <c r="G176" s="5">
        <v>48</v>
      </c>
      <c r="H176" s="5" t="s">
        <v>29</v>
      </c>
      <c r="I176" s="5" t="s">
        <v>30</v>
      </c>
      <c r="J176" s="5">
        <v>1444021200</v>
      </c>
      <c r="K176" s="5">
        <v>1444107600</v>
      </c>
      <c r="L176" s="5" t="b">
        <v>0</v>
      </c>
      <c r="M176" s="5" t="b">
        <v>1</v>
      </c>
      <c r="N176" s="5" t="s">
        <v>73</v>
      </c>
      <c r="O176" s="8">
        <f t="shared" si="0"/>
        <v>8.9466666666666672</v>
      </c>
      <c r="P176" s="9">
        <f t="shared" si="2"/>
        <v>111.83333333333333</v>
      </c>
      <c r="Q176" s="5" t="str" cm="1">
        <f t="array" ref="Q176:R176">_xlfn.TEXTSPLIT(N176,"/")</f>
        <v>technology</v>
      </c>
      <c r="R176" t="str">
        <v>wearables</v>
      </c>
      <c r="S176" s="10">
        <f t="shared" ref="S176:T176" si="176">(((J176/60)/60)/24)+DATE(1970,1,1)</f>
        <v>42282.208333333328</v>
      </c>
      <c r="T176" s="10">
        <f t="shared" si="176"/>
        <v>42283.208333333328</v>
      </c>
    </row>
    <row r="177" spans="1:20" ht="15.75" customHeight="1" x14ac:dyDescent="0.25">
      <c r="A177" s="5">
        <v>175</v>
      </c>
      <c r="B177" s="6" t="s">
        <v>410</v>
      </c>
      <c r="C177" s="7" t="s">
        <v>411</v>
      </c>
      <c r="D177" s="5">
        <v>181200</v>
      </c>
      <c r="E177" s="5">
        <v>47459</v>
      </c>
      <c r="F177" s="5" t="s">
        <v>22</v>
      </c>
      <c r="G177" s="5">
        <v>1130</v>
      </c>
      <c r="H177" s="5" t="s">
        <v>29</v>
      </c>
      <c r="I177" s="5" t="s">
        <v>30</v>
      </c>
      <c r="J177" s="5">
        <v>1472619600</v>
      </c>
      <c r="K177" s="5">
        <v>1474261200</v>
      </c>
      <c r="L177" s="5" t="b">
        <v>0</v>
      </c>
      <c r="M177" s="5" t="b">
        <v>0</v>
      </c>
      <c r="N177" s="5" t="s">
        <v>41</v>
      </c>
      <c r="O177" s="8">
        <f t="shared" si="0"/>
        <v>0.26191501103752757</v>
      </c>
      <c r="P177" s="9">
        <f t="shared" si="2"/>
        <v>41.999115044247787</v>
      </c>
      <c r="Q177" s="5" t="str" cm="1">
        <f t="array" ref="Q177:R177">_xlfn.TEXTSPLIT(N177,"/")</f>
        <v>theater</v>
      </c>
      <c r="R177" t="str">
        <v>plays</v>
      </c>
      <c r="S177" s="10">
        <f t="shared" ref="S177:T177" si="177">(((J177/60)/60)/24)+DATE(1970,1,1)</f>
        <v>42613.208333333328</v>
      </c>
      <c r="T177" s="10">
        <f t="shared" si="177"/>
        <v>42632.208333333328</v>
      </c>
    </row>
    <row r="178" spans="1:20" ht="15.75" customHeight="1" x14ac:dyDescent="0.25">
      <c r="A178" s="5">
        <v>176</v>
      </c>
      <c r="B178" s="6" t="s">
        <v>412</v>
      </c>
      <c r="C178" s="7" t="s">
        <v>413</v>
      </c>
      <c r="D178" s="5">
        <v>115000</v>
      </c>
      <c r="E178" s="5">
        <v>86060</v>
      </c>
      <c r="F178" s="5" t="s">
        <v>22</v>
      </c>
      <c r="G178" s="5">
        <v>782</v>
      </c>
      <c r="H178" s="5" t="s">
        <v>29</v>
      </c>
      <c r="I178" s="5" t="s">
        <v>30</v>
      </c>
      <c r="J178" s="5">
        <v>1472878800</v>
      </c>
      <c r="K178" s="5">
        <v>1473656400</v>
      </c>
      <c r="L178" s="5" t="b">
        <v>0</v>
      </c>
      <c r="M178" s="5" t="b">
        <v>0</v>
      </c>
      <c r="N178" s="5" t="s">
        <v>41</v>
      </c>
      <c r="O178" s="8">
        <f t="shared" si="0"/>
        <v>0.74834782608695649</v>
      </c>
      <c r="P178" s="9">
        <f t="shared" si="2"/>
        <v>110.05115089514067</v>
      </c>
      <c r="Q178" s="5" t="str" cm="1">
        <f t="array" ref="Q178:R178">_xlfn.TEXTSPLIT(N178,"/")</f>
        <v>theater</v>
      </c>
      <c r="R178" t="str">
        <v>plays</v>
      </c>
      <c r="S178" s="10">
        <f t="shared" ref="S178:T178" si="178">(((J178/60)/60)/24)+DATE(1970,1,1)</f>
        <v>42616.208333333328</v>
      </c>
      <c r="T178" s="10">
        <f t="shared" si="178"/>
        <v>42625.208333333328</v>
      </c>
    </row>
    <row r="179" spans="1:20" ht="15.75" customHeight="1" x14ac:dyDescent="0.25">
      <c r="A179" s="5">
        <v>177</v>
      </c>
      <c r="B179" s="6" t="s">
        <v>414</v>
      </c>
      <c r="C179" s="7" t="s">
        <v>415</v>
      </c>
      <c r="D179" s="5">
        <v>38800</v>
      </c>
      <c r="E179" s="5">
        <v>161593</v>
      </c>
      <c r="F179" s="5" t="s">
        <v>28</v>
      </c>
      <c r="G179" s="5">
        <v>2739</v>
      </c>
      <c r="H179" s="5" t="s">
        <v>29</v>
      </c>
      <c r="I179" s="5" t="s">
        <v>30</v>
      </c>
      <c r="J179" s="5">
        <v>1289800800</v>
      </c>
      <c r="K179" s="5">
        <v>1291960800</v>
      </c>
      <c r="L179" s="5" t="b">
        <v>0</v>
      </c>
      <c r="M179" s="5" t="b">
        <v>0</v>
      </c>
      <c r="N179" s="5" t="s">
        <v>41</v>
      </c>
      <c r="O179" s="8">
        <f t="shared" si="0"/>
        <v>4.1647680412371137</v>
      </c>
      <c r="P179" s="9">
        <f t="shared" si="2"/>
        <v>58.997079225994888</v>
      </c>
      <c r="Q179" s="5" t="str" cm="1">
        <f t="array" ref="Q179:R179">_xlfn.TEXTSPLIT(N179,"/")</f>
        <v>theater</v>
      </c>
      <c r="R179" t="str">
        <v>plays</v>
      </c>
      <c r="S179" s="10">
        <f t="shared" ref="S179:T179" si="179">(((J179/60)/60)/24)+DATE(1970,1,1)</f>
        <v>40497.25</v>
      </c>
      <c r="T179" s="10">
        <f t="shared" si="179"/>
        <v>40522.25</v>
      </c>
    </row>
    <row r="180" spans="1:20" ht="15.75" customHeight="1" x14ac:dyDescent="0.25">
      <c r="A180" s="5">
        <v>178</v>
      </c>
      <c r="B180" s="6" t="s">
        <v>416</v>
      </c>
      <c r="C180" s="7" t="s">
        <v>417</v>
      </c>
      <c r="D180" s="5">
        <v>7200</v>
      </c>
      <c r="E180" s="5">
        <v>6927</v>
      </c>
      <c r="F180" s="5" t="s">
        <v>22</v>
      </c>
      <c r="G180" s="5">
        <v>210</v>
      </c>
      <c r="H180" s="5" t="s">
        <v>29</v>
      </c>
      <c r="I180" s="5" t="s">
        <v>30</v>
      </c>
      <c r="J180" s="5">
        <v>1505970000</v>
      </c>
      <c r="K180" s="5">
        <v>1506747600</v>
      </c>
      <c r="L180" s="5" t="b">
        <v>0</v>
      </c>
      <c r="M180" s="5" t="b">
        <v>0</v>
      </c>
      <c r="N180" s="5" t="s">
        <v>25</v>
      </c>
      <c r="O180" s="8">
        <f t="shared" si="0"/>
        <v>0.96208333333333329</v>
      </c>
      <c r="P180" s="9">
        <f t="shared" si="2"/>
        <v>32.985714285714288</v>
      </c>
      <c r="Q180" s="5" t="str" cm="1">
        <f t="array" ref="Q180:R180">_xlfn.TEXTSPLIT(N180,"/")</f>
        <v>food</v>
      </c>
      <c r="R180" t="str">
        <v>food trucks</v>
      </c>
      <c r="S180" s="10">
        <f t="shared" ref="S180:T180" si="180">(((J180/60)/60)/24)+DATE(1970,1,1)</f>
        <v>42999.208333333328</v>
      </c>
      <c r="T180" s="10">
        <f t="shared" si="180"/>
        <v>43008.208333333328</v>
      </c>
    </row>
    <row r="181" spans="1:20" ht="15.75" customHeight="1" x14ac:dyDescent="0.25">
      <c r="A181" s="5">
        <v>179</v>
      </c>
      <c r="B181" s="6" t="s">
        <v>418</v>
      </c>
      <c r="C181" s="7" t="s">
        <v>419</v>
      </c>
      <c r="D181" s="5">
        <v>44500</v>
      </c>
      <c r="E181" s="5">
        <v>159185</v>
      </c>
      <c r="F181" s="5" t="s">
        <v>28</v>
      </c>
      <c r="G181" s="5">
        <v>3537</v>
      </c>
      <c r="H181" s="5" t="s">
        <v>23</v>
      </c>
      <c r="I181" s="5" t="s">
        <v>24</v>
      </c>
      <c r="J181" s="5">
        <v>1363496400</v>
      </c>
      <c r="K181" s="5">
        <v>1363582800</v>
      </c>
      <c r="L181" s="5" t="b">
        <v>0</v>
      </c>
      <c r="M181" s="5" t="b">
        <v>1</v>
      </c>
      <c r="N181" s="5" t="s">
        <v>41</v>
      </c>
      <c r="O181" s="8">
        <f t="shared" si="0"/>
        <v>3.5771910112359548</v>
      </c>
      <c r="P181" s="9">
        <f t="shared" si="2"/>
        <v>45.005654509471306</v>
      </c>
      <c r="Q181" s="5" t="str" cm="1">
        <f t="array" ref="Q181:R181">_xlfn.TEXTSPLIT(N181,"/")</f>
        <v>theater</v>
      </c>
      <c r="R181" t="str">
        <v>plays</v>
      </c>
      <c r="S181" s="10">
        <f t="shared" ref="S181:T181" si="181">(((J181/60)/60)/24)+DATE(1970,1,1)</f>
        <v>41350.208333333336</v>
      </c>
      <c r="T181" s="10">
        <f t="shared" si="181"/>
        <v>41351.208333333336</v>
      </c>
    </row>
    <row r="182" spans="1:20" ht="15.75" customHeight="1" x14ac:dyDescent="0.25">
      <c r="A182" s="5">
        <v>180</v>
      </c>
      <c r="B182" s="6" t="s">
        <v>420</v>
      </c>
      <c r="C182" s="7" t="s">
        <v>421</v>
      </c>
      <c r="D182" s="5">
        <v>56000</v>
      </c>
      <c r="E182" s="5">
        <v>172736</v>
      </c>
      <c r="F182" s="5" t="s">
        <v>28</v>
      </c>
      <c r="G182" s="5">
        <v>2107</v>
      </c>
      <c r="H182" s="5" t="s">
        <v>34</v>
      </c>
      <c r="I182" s="5" t="s">
        <v>35</v>
      </c>
      <c r="J182" s="5">
        <v>1269234000</v>
      </c>
      <c r="K182" s="5">
        <v>1269666000</v>
      </c>
      <c r="L182" s="5" t="b">
        <v>0</v>
      </c>
      <c r="M182" s="5" t="b">
        <v>0</v>
      </c>
      <c r="N182" s="5" t="s">
        <v>73</v>
      </c>
      <c r="O182" s="8">
        <f t="shared" si="0"/>
        <v>3.0845714285714285</v>
      </c>
      <c r="P182" s="9">
        <f t="shared" si="2"/>
        <v>81.98196487897485</v>
      </c>
      <c r="Q182" s="5" t="str" cm="1">
        <f t="array" ref="Q182:R182">_xlfn.TEXTSPLIT(N182,"/")</f>
        <v>technology</v>
      </c>
      <c r="R182" t="str">
        <v>wearables</v>
      </c>
      <c r="S182" s="10">
        <f t="shared" ref="S182:T182" si="182">(((J182/60)/60)/24)+DATE(1970,1,1)</f>
        <v>40259.208333333336</v>
      </c>
      <c r="T182" s="10">
        <f t="shared" si="182"/>
        <v>40264.208333333336</v>
      </c>
    </row>
    <row r="183" spans="1:20" ht="15.75" customHeight="1" x14ac:dyDescent="0.25">
      <c r="A183" s="5">
        <v>181</v>
      </c>
      <c r="B183" s="6" t="s">
        <v>422</v>
      </c>
      <c r="C183" s="7" t="s">
        <v>423</v>
      </c>
      <c r="D183" s="5">
        <v>8600</v>
      </c>
      <c r="E183" s="5">
        <v>5315</v>
      </c>
      <c r="F183" s="5" t="s">
        <v>22</v>
      </c>
      <c r="G183" s="5">
        <v>136</v>
      </c>
      <c r="H183" s="5" t="s">
        <v>29</v>
      </c>
      <c r="I183" s="5" t="s">
        <v>30</v>
      </c>
      <c r="J183" s="5">
        <v>1507093200</v>
      </c>
      <c r="K183" s="5">
        <v>1508648400</v>
      </c>
      <c r="L183" s="5" t="b">
        <v>0</v>
      </c>
      <c r="M183" s="5" t="b">
        <v>0</v>
      </c>
      <c r="N183" s="5" t="s">
        <v>36</v>
      </c>
      <c r="O183" s="8">
        <f t="shared" si="0"/>
        <v>0.61802325581395345</v>
      </c>
      <c r="P183" s="9">
        <f t="shared" si="2"/>
        <v>39.080882352941174</v>
      </c>
      <c r="Q183" s="5" t="str" cm="1">
        <f t="array" ref="Q183:R183">_xlfn.TEXTSPLIT(N183,"/")</f>
        <v>technology</v>
      </c>
      <c r="R183" t="str">
        <v>web</v>
      </c>
      <c r="S183" s="10">
        <f t="shared" ref="S183:T183" si="183">(((J183/60)/60)/24)+DATE(1970,1,1)</f>
        <v>43012.208333333328</v>
      </c>
      <c r="T183" s="10">
        <f t="shared" si="183"/>
        <v>43030.208333333328</v>
      </c>
    </row>
    <row r="184" spans="1:20" ht="15.75" customHeight="1" x14ac:dyDescent="0.25">
      <c r="A184" s="5">
        <v>182</v>
      </c>
      <c r="B184" s="6" t="s">
        <v>424</v>
      </c>
      <c r="C184" s="7" t="s">
        <v>425</v>
      </c>
      <c r="D184" s="5">
        <v>27100</v>
      </c>
      <c r="E184" s="5">
        <v>195750</v>
      </c>
      <c r="F184" s="5" t="s">
        <v>28</v>
      </c>
      <c r="G184" s="5">
        <v>3318</v>
      </c>
      <c r="H184" s="5" t="s">
        <v>44</v>
      </c>
      <c r="I184" s="5" t="s">
        <v>45</v>
      </c>
      <c r="J184" s="5">
        <v>1560574800</v>
      </c>
      <c r="K184" s="5">
        <v>1561957200</v>
      </c>
      <c r="L184" s="5" t="b">
        <v>0</v>
      </c>
      <c r="M184" s="5" t="b">
        <v>0</v>
      </c>
      <c r="N184" s="5" t="s">
        <v>41</v>
      </c>
      <c r="O184" s="8">
        <f t="shared" si="0"/>
        <v>7.2232472324723247</v>
      </c>
      <c r="P184" s="9">
        <f t="shared" si="2"/>
        <v>58.996383363471971</v>
      </c>
      <c r="Q184" s="5" t="str" cm="1">
        <f t="array" ref="Q184:R184">_xlfn.TEXTSPLIT(N184,"/")</f>
        <v>theater</v>
      </c>
      <c r="R184" t="str">
        <v>plays</v>
      </c>
      <c r="S184" s="10">
        <f t="shared" ref="S184:T184" si="184">(((J184/60)/60)/24)+DATE(1970,1,1)</f>
        <v>43631.208333333328</v>
      </c>
      <c r="T184" s="10">
        <f t="shared" si="184"/>
        <v>43647.208333333328</v>
      </c>
    </row>
    <row r="185" spans="1:20" ht="15.75" customHeight="1" x14ac:dyDescent="0.25">
      <c r="A185" s="5">
        <v>183</v>
      </c>
      <c r="B185" s="6" t="s">
        <v>426</v>
      </c>
      <c r="C185" s="7" t="s">
        <v>427</v>
      </c>
      <c r="D185" s="5">
        <v>5100</v>
      </c>
      <c r="E185" s="5">
        <v>3525</v>
      </c>
      <c r="F185" s="5" t="s">
        <v>22</v>
      </c>
      <c r="G185" s="5">
        <v>86</v>
      </c>
      <c r="H185" s="5" t="s">
        <v>23</v>
      </c>
      <c r="I185" s="5" t="s">
        <v>24</v>
      </c>
      <c r="J185" s="5">
        <v>1284008400</v>
      </c>
      <c r="K185" s="5">
        <v>1285131600</v>
      </c>
      <c r="L185" s="5" t="b">
        <v>0</v>
      </c>
      <c r="M185" s="5" t="b">
        <v>0</v>
      </c>
      <c r="N185" s="5" t="s">
        <v>31</v>
      </c>
      <c r="O185" s="8">
        <f t="shared" si="0"/>
        <v>0.69117647058823528</v>
      </c>
      <c r="P185" s="9">
        <f t="shared" si="2"/>
        <v>40.988372093023258</v>
      </c>
      <c r="Q185" s="5" t="str" cm="1">
        <f t="array" ref="Q185:R185">_xlfn.TEXTSPLIT(N185,"/")</f>
        <v>music</v>
      </c>
      <c r="R185" t="str">
        <v>rock</v>
      </c>
      <c r="S185" s="10">
        <f t="shared" ref="S185:T185" si="185">(((J185/60)/60)/24)+DATE(1970,1,1)</f>
        <v>40430.208333333336</v>
      </c>
      <c r="T185" s="10">
        <f t="shared" si="185"/>
        <v>40443.208333333336</v>
      </c>
    </row>
    <row r="186" spans="1:20" ht="15.75" customHeight="1" x14ac:dyDescent="0.25">
      <c r="A186" s="5">
        <v>184</v>
      </c>
      <c r="B186" s="6" t="s">
        <v>428</v>
      </c>
      <c r="C186" s="7" t="s">
        <v>429</v>
      </c>
      <c r="D186" s="5">
        <v>3600</v>
      </c>
      <c r="E186" s="5">
        <v>10550</v>
      </c>
      <c r="F186" s="5" t="s">
        <v>28</v>
      </c>
      <c r="G186" s="5">
        <v>340</v>
      </c>
      <c r="H186" s="5" t="s">
        <v>29</v>
      </c>
      <c r="I186" s="5" t="s">
        <v>30</v>
      </c>
      <c r="J186" s="5">
        <v>1556859600</v>
      </c>
      <c r="K186" s="5">
        <v>1556946000</v>
      </c>
      <c r="L186" s="5" t="b">
        <v>0</v>
      </c>
      <c r="M186" s="5" t="b">
        <v>0</v>
      </c>
      <c r="N186" s="5" t="s">
        <v>41</v>
      </c>
      <c r="O186" s="8">
        <f t="shared" si="0"/>
        <v>2.9305555555555554</v>
      </c>
      <c r="P186" s="9">
        <f t="shared" si="2"/>
        <v>31.029411764705884</v>
      </c>
      <c r="Q186" s="5" t="str" cm="1">
        <f t="array" ref="Q186:R186">_xlfn.TEXTSPLIT(N186,"/")</f>
        <v>theater</v>
      </c>
      <c r="R186" t="str">
        <v>plays</v>
      </c>
      <c r="S186" s="10">
        <f t="shared" ref="S186:T186" si="186">(((J186/60)/60)/24)+DATE(1970,1,1)</f>
        <v>43588.208333333328</v>
      </c>
      <c r="T186" s="10">
        <f t="shared" si="186"/>
        <v>43589.208333333328</v>
      </c>
    </row>
    <row r="187" spans="1:20" ht="15.75" customHeight="1" x14ac:dyDescent="0.25">
      <c r="A187" s="5">
        <v>185</v>
      </c>
      <c r="B187" s="6" t="s">
        <v>430</v>
      </c>
      <c r="C187" s="7" t="s">
        <v>431</v>
      </c>
      <c r="D187" s="5">
        <v>1000</v>
      </c>
      <c r="E187" s="5">
        <v>718</v>
      </c>
      <c r="F187" s="5" t="s">
        <v>22</v>
      </c>
      <c r="G187" s="5">
        <v>19</v>
      </c>
      <c r="H187" s="5" t="s">
        <v>29</v>
      </c>
      <c r="I187" s="5" t="s">
        <v>30</v>
      </c>
      <c r="J187" s="5">
        <v>1526187600</v>
      </c>
      <c r="K187" s="5">
        <v>1527138000</v>
      </c>
      <c r="L187" s="5" t="b">
        <v>0</v>
      </c>
      <c r="M187" s="5" t="b">
        <v>0</v>
      </c>
      <c r="N187" s="5" t="s">
        <v>277</v>
      </c>
      <c r="O187" s="8">
        <f t="shared" si="0"/>
        <v>0.71799999999999997</v>
      </c>
      <c r="P187" s="9">
        <f t="shared" si="2"/>
        <v>37.789473684210527</v>
      </c>
      <c r="Q187" s="5" t="str" cm="1">
        <f t="array" ref="Q187:R187">_xlfn.TEXTSPLIT(N187,"/")</f>
        <v>film &amp; video</v>
      </c>
      <c r="R187" t="str">
        <v>television</v>
      </c>
      <c r="S187" s="10">
        <f t="shared" ref="S187:T187" si="187">(((J187/60)/60)/24)+DATE(1970,1,1)</f>
        <v>43233.208333333328</v>
      </c>
      <c r="T187" s="10">
        <f t="shared" si="187"/>
        <v>43244.208333333328</v>
      </c>
    </row>
    <row r="188" spans="1:20" ht="15.75" customHeight="1" x14ac:dyDescent="0.25">
      <c r="A188" s="5">
        <v>186</v>
      </c>
      <c r="B188" s="6" t="s">
        <v>432</v>
      </c>
      <c r="C188" s="7" t="s">
        <v>433</v>
      </c>
      <c r="D188" s="5">
        <v>88800</v>
      </c>
      <c r="E188" s="5">
        <v>28358</v>
      </c>
      <c r="F188" s="5" t="s">
        <v>22</v>
      </c>
      <c r="G188" s="5">
        <v>886</v>
      </c>
      <c r="H188" s="5" t="s">
        <v>29</v>
      </c>
      <c r="I188" s="5" t="s">
        <v>30</v>
      </c>
      <c r="J188" s="5">
        <v>1400821200</v>
      </c>
      <c r="K188" s="5">
        <v>1402117200</v>
      </c>
      <c r="L188" s="5" t="b">
        <v>0</v>
      </c>
      <c r="M188" s="5" t="b">
        <v>0</v>
      </c>
      <c r="N188" s="5" t="s">
        <v>41</v>
      </c>
      <c r="O188" s="8">
        <f t="shared" si="0"/>
        <v>0.31934684684684683</v>
      </c>
      <c r="P188" s="9">
        <f t="shared" si="2"/>
        <v>32.006772009029348</v>
      </c>
      <c r="Q188" s="5" t="str" cm="1">
        <f t="array" ref="Q188:R188">_xlfn.TEXTSPLIT(N188,"/")</f>
        <v>theater</v>
      </c>
      <c r="R188" t="str">
        <v>plays</v>
      </c>
      <c r="S188" s="10">
        <f t="shared" ref="S188:T188" si="188">(((J188/60)/60)/24)+DATE(1970,1,1)</f>
        <v>41782.208333333336</v>
      </c>
      <c r="T188" s="10">
        <f t="shared" si="188"/>
        <v>41797.208333333336</v>
      </c>
    </row>
    <row r="189" spans="1:20" ht="15.75" customHeight="1" x14ac:dyDescent="0.25">
      <c r="A189" s="5">
        <v>187</v>
      </c>
      <c r="B189" s="6" t="s">
        <v>434</v>
      </c>
      <c r="C189" s="7" t="s">
        <v>435</v>
      </c>
      <c r="D189" s="5">
        <v>60200</v>
      </c>
      <c r="E189" s="5">
        <v>138384</v>
      </c>
      <c r="F189" s="5" t="s">
        <v>28</v>
      </c>
      <c r="G189" s="5">
        <v>1442</v>
      </c>
      <c r="H189" s="5" t="s">
        <v>23</v>
      </c>
      <c r="I189" s="5" t="s">
        <v>24</v>
      </c>
      <c r="J189" s="5">
        <v>1361599200</v>
      </c>
      <c r="K189" s="5">
        <v>1364014800</v>
      </c>
      <c r="L189" s="5" t="b">
        <v>0</v>
      </c>
      <c r="M189" s="5" t="b">
        <v>1</v>
      </c>
      <c r="N189" s="5" t="s">
        <v>108</v>
      </c>
      <c r="O189" s="8">
        <f t="shared" si="0"/>
        <v>2.2987375415282392</v>
      </c>
      <c r="P189" s="9">
        <f t="shared" si="2"/>
        <v>95.966712898751737</v>
      </c>
      <c r="Q189" s="5" t="str" cm="1">
        <f t="array" ref="Q189:R189">_xlfn.TEXTSPLIT(N189,"/")</f>
        <v>film &amp; video</v>
      </c>
      <c r="R189" t="str">
        <v>shorts</v>
      </c>
      <c r="S189" s="10">
        <f t="shared" ref="S189:T189" si="189">(((J189/60)/60)/24)+DATE(1970,1,1)</f>
        <v>41328.25</v>
      </c>
      <c r="T189" s="10">
        <f t="shared" si="189"/>
        <v>41356.208333333336</v>
      </c>
    </row>
    <row r="190" spans="1:20" ht="15.75" customHeight="1" x14ac:dyDescent="0.25">
      <c r="A190" s="5">
        <v>188</v>
      </c>
      <c r="B190" s="6" t="s">
        <v>436</v>
      </c>
      <c r="C190" s="7" t="s">
        <v>437</v>
      </c>
      <c r="D190" s="5">
        <v>8200</v>
      </c>
      <c r="E190" s="5">
        <v>2625</v>
      </c>
      <c r="F190" s="5" t="s">
        <v>22</v>
      </c>
      <c r="G190" s="5">
        <v>35</v>
      </c>
      <c r="H190" s="5" t="s">
        <v>115</v>
      </c>
      <c r="I190" s="5" t="s">
        <v>116</v>
      </c>
      <c r="J190" s="5">
        <v>1417500000</v>
      </c>
      <c r="K190" s="5">
        <v>1417586400</v>
      </c>
      <c r="L190" s="5" t="b">
        <v>0</v>
      </c>
      <c r="M190" s="5" t="b">
        <v>0</v>
      </c>
      <c r="N190" s="5" t="s">
        <v>41</v>
      </c>
      <c r="O190" s="8">
        <f t="shared" si="0"/>
        <v>0.3201219512195122</v>
      </c>
      <c r="P190" s="9">
        <f t="shared" si="2"/>
        <v>75</v>
      </c>
      <c r="Q190" s="5" t="str" cm="1">
        <f t="array" ref="Q190:R190">_xlfn.TEXTSPLIT(N190,"/")</f>
        <v>theater</v>
      </c>
      <c r="R190" t="str">
        <v>plays</v>
      </c>
      <c r="S190" s="10">
        <f t="shared" ref="S190:T190" si="190">(((J190/60)/60)/24)+DATE(1970,1,1)</f>
        <v>41975.25</v>
      </c>
      <c r="T190" s="10">
        <f t="shared" si="190"/>
        <v>41976.25</v>
      </c>
    </row>
    <row r="191" spans="1:20" ht="15.75" customHeight="1" x14ac:dyDescent="0.25">
      <c r="A191" s="5">
        <v>189</v>
      </c>
      <c r="B191" s="6" t="s">
        <v>438</v>
      </c>
      <c r="C191" s="7" t="s">
        <v>439</v>
      </c>
      <c r="D191" s="5">
        <v>191300</v>
      </c>
      <c r="E191" s="5">
        <v>45004</v>
      </c>
      <c r="F191" s="5" t="s">
        <v>82</v>
      </c>
      <c r="G191" s="5">
        <v>441</v>
      </c>
      <c r="H191" s="5" t="s">
        <v>29</v>
      </c>
      <c r="I191" s="5" t="s">
        <v>30</v>
      </c>
      <c r="J191" s="5">
        <v>1457071200</v>
      </c>
      <c r="K191" s="5">
        <v>1457071200</v>
      </c>
      <c r="L191" s="5" t="b">
        <v>0</v>
      </c>
      <c r="M191" s="5" t="b">
        <v>0</v>
      </c>
      <c r="N191" s="5" t="s">
        <v>41</v>
      </c>
      <c r="O191" s="8">
        <f t="shared" si="0"/>
        <v>0.23525352848928385</v>
      </c>
      <c r="P191" s="9">
        <f t="shared" si="2"/>
        <v>102.0498866213152</v>
      </c>
      <c r="Q191" s="5" t="str" cm="1">
        <f t="array" ref="Q191:R191">_xlfn.TEXTSPLIT(N191,"/")</f>
        <v>theater</v>
      </c>
      <c r="R191" t="str">
        <v>plays</v>
      </c>
      <c r="S191" s="10">
        <f t="shared" ref="S191:T191" si="191">(((J191/60)/60)/24)+DATE(1970,1,1)</f>
        <v>42433.25</v>
      </c>
      <c r="T191" s="10">
        <f t="shared" si="191"/>
        <v>42433.25</v>
      </c>
    </row>
    <row r="192" spans="1:20" ht="15.75" customHeight="1" x14ac:dyDescent="0.25">
      <c r="A192" s="5">
        <v>190</v>
      </c>
      <c r="B192" s="6" t="s">
        <v>440</v>
      </c>
      <c r="C192" s="7" t="s">
        <v>441</v>
      </c>
      <c r="D192" s="5">
        <v>3700</v>
      </c>
      <c r="E192" s="5">
        <v>2538</v>
      </c>
      <c r="F192" s="5" t="s">
        <v>22</v>
      </c>
      <c r="G192" s="5">
        <v>24</v>
      </c>
      <c r="H192" s="5" t="s">
        <v>29</v>
      </c>
      <c r="I192" s="5" t="s">
        <v>30</v>
      </c>
      <c r="J192" s="5">
        <v>1370322000</v>
      </c>
      <c r="K192" s="5">
        <v>1370408400</v>
      </c>
      <c r="L192" s="5" t="b">
        <v>0</v>
      </c>
      <c r="M192" s="5" t="b">
        <v>1</v>
      </c>
      <c r="N192" s="5" t="s">
        <v>41</v>
      </c>
      <c r="O192" s="8">
        <f t="shared" si="0"/>
        <v>0.68594594594594593</v>
      </c>
      <c r="P192" s="9">
        <f t="shared" si="2"/>
        <v>105.75</v>
      </c>
      <c r="Q192" s="5" t="str" cm="1">
        <f t="array" ref="Q192:R192">_xlfn.TEXTSPLIT(N192,"/")</f>
        <v>theater</v>
      </c>
      <c r="R192" t="str">
        <v>plays</v>
      </c>
      <c r="S192" s="10">
        <f t="shared" ref="S192:T192" si="192">(((J192/60)/60)/24)+DATE(1970,1,1)</f>
        <v>41429.208333333336</v>
      </c>
      <c r="T192" s="10">
        <f t="shared" si="192"/>
        <v>41430.208333333336</v>
      </c>
    </row>
    <row r="193" spans="1:20" ht="15.75" customHeight="1" x14ac:dyDescent="0.25">
      <c r="A193" s="5">
        <v>191</v>
      </c>
      <c r="B193" s="6" t="s">
        <v>442</v>
      </c>
      <c r="C193" s="7" t="s">
        <v>443</v>
      </c>
      <c r="D193" s="5">
        <v>8400</v>
      </c>
      <c r="E193" s="5">
        <v>3188</v>
      </c>
      <c r="F193" s="5" t="s">
        <v>22</v>
      </c>
      <c r="G193" s="5">
        <v>86</v>
      </c>
      <c r="H193" s="5" t="s">
        <v>115</v>
      </c>
      <c r="I193" s="5" t="s">
        <v>116</v>
      </c>
      <c r="J193" s="5">
        <v>1552366800</v>
      </c>
      <c r="K193" s="5">
        <v>1552626000</v>
      </c>
      <c r="L193" s="5" t="b">
        <v>0</v>
      </c>
      <c r="M193" s="5" t="b">
        <v>0</v>
      </c>
      <c r="N193" s="5" t="s">
        <v>41</v>
      </c>
      <c r="O193" s="8">
        <f t="shared" si="0"/>
        <v>0.37952380952380954</v>
      </c>
      <c r="P193" s="9">
        <f t="shared" si="2"/>
        <v>37.069767441860463</v>
      </c>
      <c r="Q193" s="5" t="str" cm="1">
        <f t="array" ref="Q193:R193">_xlfn.TEXTSPLIT(N193,"/")</f>
        <v>theater</v>
      </c>
      <c r="R193" t="str">
        <v>plays</v>
      </c>
      <c r="S193" s="10">
        <f t="shared" ref="S193:T193" si="193">(((J193/60)/60)/24)+DATE(1970,1,1)</f>
        <v>43536.208333333328</v>
      </c>
      <c r="T193" s="10">
        <f t="shared" si="193"/>
        <v>43539.208333333328</v>
      </c>
    </row>
    <row r="194" spans="1:20" ht="15.75" customHeight="1" x14ac:dyDescent="0.25">
      <c r="A194" s="5">
        <v>192</v>
      </c>
      <c r="B194" s="6" t="s">
        <v>444</v>
      </c>
      <c r="C194" s="7" t="s">
        <v>445</v>
      </c>
      <c r="D194" s="5">
        <v>42600</v>
      </c>
      <c r="E194" s="5">
        <v>8517</v>
      </c>
      <c r="F194" s="5" t="s">
        <v>22</v>
      </c>
      <c r="G194" s="5">
        <v>243</v>
      </c>
      <c r="H194" s="5" t="s">
        <v>29</v>
      </c>
      <c r="I194" s="5" t="s">
        <v>30</v>
      </c>
      <c r="J194" s="5">
        <v>1403845200</v>
      </c>
      <c r="K194" s="5">
        <v>1404190800</v>
      </c>
      <c r="L194" s="5" t="b">
        <v>0</v>
      </c>
      <c r="M194" s="5" t="b">
        <v>0</v>
      </c>
      <c r="N194" s="5" t="s">
        <v>31</v>
      </c>
      <c r="O194" s="8">
        <f t="shared" si="0"/>
        <v>0.19992957746478873</v>
      </c>
      <c r="P194" s="9">
        <f t="shared" si="2"/>
        <v>35.049382716049379</v>
      </c>
      <c r="Q194" s="5" t="str" cm="1">
        <f t="array" ref="Q194:R194">_xlfn.TEXTSPLIT(N194,"/")</f>
        <v>music</v>
      </c>
      <c r="R194" t="str">
        <v>rock</v>
      </c>
      <c r="S194" s="10">
        <f t="shared" ref="S194:T194" si="194">(((J194/60)/60)/24)+DATE(1970,1,1)</f>
        <v>41817.208333333336</v>
      </c>
      <c r="T194" s="10">
        <f t="shared" si="194"/>
        <v>41821.208333333336</v>
      </c>
    </row>
    <row r="195" spans="1:20" ht="15.75" customHeight="1" x14ac:dyDescent="0.25">
      <c r="A195" s="5">
        <v>193</v>
      </c>
      <c r="B195" s="6" t="s">
        <v>446</v>
      </c>
      <c r="C195" s="7" t="s">
        <v>447</v>
      </c>
      <c r="D195" s="5">
        <v>6600</v>
      </c>
      <c r="E195" s="5">
        <v>3012</v>
      </c>
      <c r="F195" s="5" t="s">
        <v>22</v>
      </c>
      <c r="G195" s="5">
        <v>65</v>
      </c>
      <c r="H195" s="5" t="s">
        <v>29</v>
      </c>
      <c r="I195" s="5" t="s">
        <v>30</v>
      </c>
      <c r="J195" s="5">
        <v>1523163600</v>
      </c>
      <c r="K195" s="5">
        <v>1523509200</v>
      </c>
      <c r="L195" s="5" t="b">
        <v>1</v>
      </c>
      <c r="M195" s="5" t="b">
        <v>0</v>
      </c>
      <c r="N195" s="5" t="s">
        <v>68</v>
      </c>
      <c r="O195" s="8">
        <f t="shared" si="0"/>
        <v>0.45636363636363636</v>
      </c>
      <c r="P195" s="9">
        <f t="shared" si="2"/>
        <v>46.338461538461537</v>
      </c>
      <c r="Q195" s="5" t="str" cm="1">
        <f t="array" ref="Q195:R195">_xlfn.TEXTSPLIT(N195,"/")</f>
        <v>music</v>
      </c>
      <c r="R195" t="str">
        <v>indie rock</v>
      </c>
      <c r="S195" s="10">
        <f t="shared" ref="S195:T195" si="195">(((J195/60)/60)/24)+DATE(1970,1,1)</f>
        <v>43198.208333333328</v>
      </c>
      <c r="T195" s="10">
        <f t="shared" si="195"/>
        <v>43202.208333333328</v>
      </c>
    </row>
    <row r="196" spans="1:20" ht="15.75" customHeight="1" x14ac:dyDescent="0.25">
      <c r="A196" s="5">
        <v>194</v>
      </c>
      <c r="B196" s="6" t="s">
        <v>448</v>
      </c>
      <c r="C196" s="7" t="s">
        <v>449</v>
      </c>
      <c r="D196" s="5">
        <v>7100</v>
      </c>
      <c r="E196" s="5">
        <v>8716</v>
      </c>
      <c r="F196" s="5" t="s">
        <v>28</v>
      </c>
      <c r="G196" s="5">
        <v>126</v>
      </c>
      <c r="H196" s="5" t="s">
        <v>29</v>
      </c>
      <c r="I196" s="5" t="s">
        <v>30</v>
      </c>
      <c r="J196" s="5">
        <v>1442206800</v>
      </c>
      <c r="K196" s="5">
        <v>1443589200</v>
      </c>
      <c r="L196" s="5" t="b">
        <v>0</v>
      </c>
      <c r="M196" s="5" t="b">
        <v>0</v>
      </c>
      <c r="N196" s="5" t="s">
        <v>156</v>
      </c>
      <c r="O196" s="8">
        <f t="shared" si="0"/>
        <v>1.227605633802817</v>
      </c>
      <c r="P196" s="9">
        <f t="shared" si="2"/>
        <v>69.174603174603178</v>
      </c>
      <c r="Q196" s="5" t="str" cm="1">
        <f t="array" ref="Q196:R196">_xlfn.TEXTSPLIT(N196,"/")</f>
        <v>music</v>
      </c>
      <c r="R196" t="str">
        <v>metal</v>
      </c>
      <c r="S196" s="10">
        <f t="shared" ref="S196:T196" si="196">(((J196/60)/60)/24)+DATE(1970,1,1)</f>
        <v>42261.208333333328</v>
      </c>
      <c r="T196" s="10">
        <f t="shared" si="196"/>
        <v>42277.208333333328</v>
      </c>
    </row>
    <row r="197" spans="1:20" ht="15.75" customHeight="1" x14ac:dyDescent="0.25">
      <c r="A197" s="5">
        <v>195</v>
      </c>
      <c r="B197" s="6" t="s">
        <v>450</v>
      </c>
      <c r="C197" s="7" t="s">
        <v>451</v>
      </c>
      <c r="D197" s="5">
        <v>15800</v>
      </c>
      <c r="E197" s="5">
        <v>57157</v>
      </c>
      <c r="F197" s="5" t="s">
        <v>28</v>
      </c>
      <c r="G197" s="5">
        <v>524</v>
      </c>
      <c r="H197" s="5" t="s">
        <v>29</v>
      </c>
      <c r="I197" s="5" t="s">
        <v>30</v>
      </c>
      <c r="J197" s="5">
        <v>1532840400</v>
      </c>
      <c r="K197" s="5">
        <v>1533445200</v>
      </c>
      <c r="L197" s="5" t="b">
        <v>0</v>
      </c>
      <c r="M197" s="5" t="b">
        <v>0</v>
      </c>
      <c r="N197" s="5" t="s">
        <v>58</v>
      </c>
      <c r="O197" s="8">
        <f t="shared" si="0"/>
        <v>3.61753164556962</v>
      </c>
      <c r="P197" s="9">
        <f t="shared" si="2"/>
        <v>109.07824427480917</v>
      </c>
      <c r="Q197" s="5" t="str" cm="1">
        <f t="array" ref="Q197:R197">_xlfn.TEXTSPLIT(N197,"/")</f>
        <v>music</v>
      </c>
      <c r="R197" t="str">
        <v>electric music</v>
      </c>
      <c r="S197" s="10">
        <f t="shared" ref="S197:T197" si="197">(((J197/60)/60)/24)+DATE(1970,1,1)</f>
        <v>43310.208333333328</v>
      </c>
      <c r="T197" s="10">
        <f t="shared" si="197"/>
        <v>43317.208333333328</v>
      </c>
    </row>
    <row r="198" spans="1:20" ht="15.75" customHeight="1" x14ac:dyDescent="0.25">
      <c r="A198" s="5">
        <v>196</v>
      </c>
      <c r="B198" s="6" t="s">
        <v>452</v>
      </c>
      <c r="C198" s="7" t="s">
        <v>453</v>
      </c>
      <c r="D198" s="5">
        <v>8200</v>
      </c>
      <c r="E198" s="5">
        <v>5178</v>
      </c>
      <c r="F198" s="5" t="s">
        <v>22</v>
      </c>
      <c r="G198" s="5">
        <v>100</v>
      </c>
      <c r="H198" s="5" t="s">
        <v>44</v>
      </c>
      <c r="I198" s="5" t="s">
        <v>45</v>
      </c>
      <c r="J198" s="5">
        <v>1472878800</v>
      </c>
      <c r="K198" s="5">
        <v>1474520400</v>
      </c>
      <c r="L198" s="5" t="b">
        <v>0</v>
      </c>
      <c r="M198" s="5" t="b">
        <v>0</v>
      </c>
      <c r="N198" s="5" t="s">
        <v>73</v>
      </c>
      <c r="O198" s="8">
        <f t="shared" si="0"/>
        <v>0.63146341463414635</v>
      </c>
      <c r="P198" s="9">
        <f t="shared" si="2"/>
        <v>51.78</v>
      </c>
      <c r="Q198" s="5" t="str" cm="1">
        <f t="array" ref="Q198:R198">_xlfn.TEXTSPLIT(N198,"/")</f>
        <v>technology</v>
      </c>
      <c r="R198" t="str">
        <v>wearables</v>
      </c>
      <c r="S198" s="10">
        <f t="shared" ref="S198:T198" si="198">(((J198/60)/60)/24)+DATE(1970,1,1)</f>
        <v>42616.208333333328</v>
      </c>
      <c r="T198" s="10">
        <f t="shared" si="198"/>
        <v>42635.208333333328</v>
      </c>
    </row>
    <row r="199" spans="1:20" ht="15.75" customHeight="1" x14ac:dyDescent="0.25">
      <c r="A199" s="5">
        <v>197</v>
      </c>
      <c r="B199" s="6" t="s">
        <v>454</v>
      </c>
      <c r="C199" s="7" t="s">
        <v>455</v>
      </c>
      <c r="D199" s="5">
        <v>54700</v>
      </c>
      <c r="E199" s="5">
        <v>163118</v>
      </c>
      <c r="F199" s="5" t="s">
        <v>28</v>
      </c>
      <c r="G199" s="5">
        <v>1989</v>
      </c>
      <c r="H199" s="5" t="s">
        <v>29</v>
      </c>
      <c r="I199" s="5" t="s">
        <v>30</v>
      </c>
      <c r="J199" s="5">
        <v>1498194000</v>
      </c>
      <c r="K199" s="5">
        <v>1499403600</v>
      </c>
      <c r="L199" s="5" t="b">
        <v>0</v>
      </c>
      <c r="M199" s="5" t="b">
        <v>0</v>
      </c>
      <c r="N199" s="5" t="s">
        <v>61</v>
      </c>
      <c r="O199" s="8">
        <f t="shared" si="0"/>
        <v>2.9820475319926874</v>
      </c>
      <c r="P199" s="9">
        <f t="shared" si="2"/>
        <v>82.010055304172951</v>
      </c>
      <c r="Q199" s="5" t="str" cm="1">
        <f t="array" ref="Q199:R199">_xlfn.TEXTSPLIT(N199,"/")</f>
        <v>film &amp; video</v>
      </c>
      <c r="R199" t="str">
        <v>drama</v>
      </c>
      <c r="S199" s="10">
        <f t="shared" ref="S199:T199" si="199">(((J199/60)/60)/24)+DATE(1970,1,1)</f>
        <v>42909.208333333328</v>
      </c>
      <c r="T199" s="10">
        <f t="shared" si="199"/>
        <v>42923.208333333328</v>
      </c>
    </row>
    <row r="200" spans="1:20" ht="15.75" customHeight="1" x14ac:dyDescent="0.25">
      <c r="A200" s="5">
        <v>198</v>
      </c>
      <c r="B200" s="6" t="s">
        <v>456</v>
      </c>
      <c r="C200" s="7" t="s">
        <v>457</v>
      </c>
      <c r="D200" s="5">
        <v>63200</v>
      </c>
      <c r="E200" s="5">
        <v>6041</v>
      </c>
      <c r="F200" s="5" t="s">
        <v>22</v>
      </c>
      <c r="G200" s="5">
        <v>168</v>
      </c>
      <c r="H200" s="5" t="s">
        <v>29</v>
      </c>
      <c r="I200" s="5" t="s">
        <v>30</v>
      </c>
      <c r="J200" s="5">
        <v>1281070800</v>
      </c>
      <c r="K200" s="5">
        <v>1283576400</v>
      </c>
      <c r="L200" s="5" t="b">
        <v>0</v>
      </c>
      <c r="M200" s="5" t="b">
        <v>0</v>
      </c>
      <c r="N200" s="5" t="s">
        <v>58</v>
      </c>
      <c r="O200" s="8">
        <f t="shared" si="0"/>
        <v>9.5585443037974685E-2</v>
      </c>
      <c r="P200" s="9">
        <f t="shared" si="2"/>
        <v>35.958333333333336</v>
      </c>
      <c r="Q200" s="5" t="str" cm="1">
        <f t="array" ref="Q200:R200">_xlfn.TEXTSPLIT(N200,"/")</f>
        <v>music</v>
      </c>
      <c r="R200" t="str">
        <v>electric music</v>
      </c>
      <c r="S200" s="10">
        <f t="shared" ref="S200:T200" si="200">(((J200/60)/60)/24)+DATE(1970,1,1)</f>
        <v>40396.208333333336</v>
      </c>
      <c r="T200" s="10">
        <f t="shared" si="200"/>
        <v>40425.208333333336</v>
      </c>
    </row>
    <row r="201" spans="1:20" ht="15.75" customHeight="1" x14ac:dyDescent="0.25">
      <c r="A201" s="5">
        <v>199</v>
      </c>
      <c r="B201" s="6" t="s">
        <v>458</v>
      </c>
      <c r="C201" s="7" t="s">
        <v>459</v>
      </c>
      <c r="D201" s="5">
        <v>1800</v>
      </c>
      <c r="E201" s="5">
        <v>968</v>
      </c>
      <c r="F201" s="5" t="s">
        <v>22</v>
      </c>
      <c r="G201" s="5">
        <v>13</v>
      </c>
      <c r="H201" s="5" t="s">
        <v>29</v>
      </c>
      <c r="I201" s="5" t="s">
        <v>30</v>
      </c>
      <c r="J201" s="5">
        <v>1436245200</v>
      </c>
      <c r="K201" s="5">
        <v>1436590800</v>
      </c>
      <c r="L201" s="5" t="b">
        <v>0</v>
      </c>
      <c r="M201" s="5" t="b">
        <v>0</v>
      </c>
      <c r="N201" s="5" t="s">
        <v>31</v>
      </c>
      <c r="O201" s="8">
        <f t="shared" si="0"/>
        <v>0.5377777777777778</v>
      </c>
      <c r="P201" s="9">
        <f t="shared" si="2"/>
        <v>74.461538461538467</v>
      </c>
      <c r="Q201" s="5" t="str" cm="1">
        <f t="array" ref="Q201:R201">_xlfn.TEXTSPLIT(N201,"/")</f>
        <v>music</v>
      </c>
      <c r="R201" t="str">
        <v>rock</v>
      </c>
      <c r="S201" s="10">
        <f t="shared" ref="S201:T201" si="201">(((J201/60)/60)/24)+DATE(1970,1,1)</f>
        <v>42192.208333333328</v>
      </c>
      <c r="T201" s="10">
        <f t="shared" si="201"/>
        <v>42196.208333333328</v>
      </c>
    </row>
    <row r="202" spans="1:20" ht="15.75" customHeight="1" x14ac:dyDescent="0.25">
      <c r="A202" s="5">
        <v>200</v>
      </c>
      <c r="B202" s="6" t="s">
        <v>460</v>
      </c>
      <c r="C202" s="7" t="s">
        <v>461</v>
      </c>
      <c r="D202" s="5">
        <v>100</v>
      </c>
      <c r="E202" s="5">
        <v>2</v>
      </c>
      <c r="F202" s="5" t="s">
        <v>22</v>
      </c>
      <c r="G202" s="5">
        <v>1</v>
      </c>
      <c r="H202" s="5" t="s">
        <v>23</v>
      </c>
      <c r="I202" s="5" t="s">
        <v>24</v>
      </c>
      <c r="J202" s="5">
        <v>1269493200</v>
      </c>
      <c r="K202" s="5">
        <v>1270443600</v>
      </c>
      <c r="L202" s="5" t="b">
        <v>0</v>
      </c>
      <c r="M202" s="5" t="b">
        <v>0</v>
      </c>
      <c r="N202" s="5" t="s">
        <v>41</v>
      </c>
      <c r="O202" s="8">
        <f t="shared" si="0"/>
        <v>0.02</v>
      </c>
      <c r="P202" s="9">
        <f t="shared" si="2"/>
        <v>2</v>
      </c>
      <c r="Q202" s="5" t="str" cm="1">
        <f t="array" ref="Q202:R202">_xlfn.TEXTSPLIT(N202,"/")</f>
        <v>theater</v>
      </c>
      <c r="R202" t="str">
        <v>plays</v>
      </c>
      <c r="S202" s="10">
        <f t="shared" ref="S202:T202" si="202">(((J202/60)/60)/24)+DATE(1970,1,1)</f>
        <v>40262.208333333336</v>
      </c>
      <c r="T202" s="10">
        <f t="shared" si="202"/>
        <v>40273.208333333336</v>
      </c>
    </row>
    <row r="203" spans="1:20" ht="15.75" customHeight="1" x14ac:dyDescent="0.25">
      <c r="A203" s="5">
        <v>201</v>
      </c>
      <c r="B203" s="6" t="s">
        <v>462</v>
      </c>
      <c r="C203" s="7" t="s">
        <v>463</v>
      </c>
      <c r="D203" s="5">
        <v>2100</v>
      </c>
      <c r="E203" s="5">
        <v>14305</v>
      </c>
      <c r="F203" s="5" t="s">
        <v>28</v>
      </c>
      <c r="G203" s="5">
        <v>157</v>
      </c>
      <c r="H203" s="5" t="s">
        <v>29</v>
      </c>
      <c r="I203" s="5" t="s">
        <v>30</v>
      </c>
      <c r="J203" s="5">
        <v>1406264400</v>
      </c>
      <c r="K203" s="5">
        <v>1407819600</v>
      </c>
      <c r="L203" s="5" t="b">
        <v>0</v>
      </c>
      <c r="M203" s="5" t="b">
        <v>0</v>
      </c>
      <c r="N203" s="5" t="s">
        <v>36</v>
      </c>
      <c r="O203" s="8">
        <f t="shared" si="0"/>
        <v>6.8119047619047617</v>
      </c>
      <c r="P203" s="9">
        <f t="shared" si="2"/>
        <v>91.114649681528661</v>
      </c>
      <c r="Q203" s="5" t="str" cm="1">
        <f t="array" ref="Q203:R203">_xlfn.TEXTSPLIT(N203,"/")</f>
        <v>technology</v>
      </c>
      <c r="R203" t="str">
        <v>web</v>
      </c>
      <c r="S203" s="10">
        <f t="shared" ref="S203:T203" si="203">(((J203/60)/60)/24)+DATE(1970,1,1)</f>
        <v>41845.208333333336</v>
      </c>
      <c r="T203" s="10">
        <f t="shared" si="203"/>
        <v>41863.208333333336</v>
      </c>
    </row>
    <row r="204" spans="1:20" ht="15.75" customHeight="1" x14ac:dyDescent="0.25">
      <c r="A204" s="5">
        <v>202</v>
      </c>
      <c r="B204" s="6" t="s">
        <v>464</v>
      </c>
      <c r="C204" s="7" t="s">
        <v>465</v>
      </c>
      <c r="D204" s="5">
        <v>8300</v>
      </c>
      <c r="E204" s="5">
        <v>6543</v>
      </c>
      <c r="F204" s="5" t="s">
        <v>82</v>
      </c>
      <c r="G204" s="5">
        <v>82</v>
      </c>
      <c r="H204" s="5" t="s">
        <v>29</v>
      </c>
      <c r="I204" s="5" t="s">
        <v>30</v>
      </c>
      <c r="J204" s="5">
        <v>1317531600</v>
      </c>
      <c r="K204" s="5">
        <v>1317877200</v>
      </c>
      <c r="L204" s="5" t="b">
        <v>0</v>
      </c>
      <c r="M204" s="5" t="b">
        <v>0</v>
      </c>
      <c r="N204" s="5" t="s">
        <v>25</v>
      </c>
      <c r="O204" s="8">
        <f t="shared" si="0"/>
        <v>0.78831325301204824</v>
      </c>
      <c r="P204" s="9">
        <f t="shared" si="2"/>
        <v>79.792682926829272</v>
      </c>
      <c r="Q204" s="5" t="str" cm="1">
        <f t="array" ref="Q204:R204">_xlfn.TEXTSPLIT(N204,"/")</f>
        <v>food</v>
      </c>
      <c r="R204" t="str">
        <v>food trucks</v>
      </c>
      <c r="S204" s="10">
        <f t="shared" ref="S204:T204" si="204">(((J204/60)/60)/24)+DATE(1970,1,1)</f>
        <v>40818.208333333336</v>
      </c>
      <c r="T204" s="10">
        <f t="shared" si="204"/>
        <v>40822.208333333336</v>
      </c>
    </row>
    <row r="205" spans="1:20" ht="15.75" customHeight="1" x14ac:dyDescent="0.25">
      <c r="A205" s="5">
        <v>203</v>
      </c>
      <c r="B205" s="6" t="s">
        <v>466</v>
      </c>
      <c r="C205" s="7" t="s">
        <v>467</v>
      </c>
      <c r="D205" s="5">
        <v>143900</v>
      </c>
      <c r="E205" s="5">
        <v>193413</v>
      </c>
      <c r="F205" s="5" t="s">
        <v>28</v>
      </c>
      <c r="G205" s="5">
        <v>4498</v>
      </c>
      <c r="H205" s="5" t="s">
        <v>34</v>
      </c>
      <c r="I205" s="5" t="s">
        <v>35</v>
      </c>
      <c r="J205" s="5">
        <v>1484632800</v>
      </c>
      <c r="K205" s="5">
        <v>1484805600</v>
      </c>
      <c r="L205" s="5" t="b">
        <v>0</v>
      </c>
      <c r="M205" s="5" t="b">
        <v>0</v>
      </c>
      <c r="N205" s="5" t="s">
        <v>41</v>
      </c>
      <c r="O205" s="8">
        <f t="shared" si="0"/>
        <v>1.3440792216817234</v>
      </c>
      <c r="P205" s="9">
        <f t="shared" si="2"/>
        <v>42.999777678968428</v>
      </c>
      <c r="Q205" s="5" t="str" cm="1">
        <f t="array" ref="Q205:R205">_xlfn.TEXTSPLIT(N205,"/")</f>
        <v>theater</v>
      </c>
      <c r="R205" t="str">
        <v>plays</v>
      </c>
      <c r="S205" s="10">
        <f t="shared" ref="S205:T205" si="205">(((J205/60)/60)/24)+DATE(1970,1,1)</f>
        <v>42752.25</v>
      </c>
      <c r="T205" s="10">
        <f t="shared" si="205"/>
        <v>42754.25</v>
      </c>
    </row>
    <row r="206" spans="1:20" ht="15.75" customHeight="1" x14ac:dyDescent="0.25">
      <c r="A206" s="5">
        <v>204</v>
      </c>
      <c r="B206" s="6" t="s">
        <v>468</v>
      </c>
      <c r="C206" s="7" t="s">
        <v>469</v>
      </c>
      <c r="D206" s="5">
        <v>75000</v>
      </c>
      <c r="E206" s="5">
        <v>2529</v>
      </c>
      <c r="F206" s="5" t="s">
        <v>22</v>
      </c>
      <c r="G206" s="5">
        <v>40</v>
      </c>
      <c r="H206" s="5" t="s">
        <v>29</v>
      </c>
      <c r="I206" s="5" t="s">
        <v>30</v>
      </c>
      <c r="J206" s="5">
        <v>1301806800</v>
      </c>
      <c r="K206" s="5">
        <v>1302670800</v>
      </c>
      <c r="L206" s="5" t="b">
        <v>0</v>
      </c>
      <c r="M206" s="5" t="b">
        <v>0</v>
      </c>
      <c r="N206" s="5" t="s">
        <v>167</v>
      </c>
      <c r="O206" s="8">
        <f t="shared" si="0"/>
        <v>3.372E-2</v>
      </c>
      <c r="P206" s="9">
        <f t="shared" si="2"/>
        <v>63.225000000000001</v>
      </c>
      <c r="Q206" s="5" t="str" cm="1">
        <f t="array" ref="Q206:R206">_xlfn.TEXTSPLIT(N206,"/")</f>
        <v>music</v>
      </c>
      <c r="R206" t="str">
        <v>jazz</v>
      </c>
      <c r="S206" s="10">
        <f t="shared" ref="S206:T206" si="206">(((J206/60)/60)/24)+DATE(1970,1,1)</f>
        <v>40636.208333333336</v>
      </c>
      <c r="T206" s="10">
        <f t="shared" si="206"/>
        <v>40646.208333333336</v>
      </c>
    </row>
    <row r="207" spans="1:20" ht="15.75" customHeight="1" x14ac:dyDescent="0.25">
      <c r="A207" s="5">
        <v>205</v>
      </c>
      <c r="B207" s="6" t="s">
        <v>470</v>
      </c>
      <c r="C207" s="7" t="s">
        <v>471</v>
      </c>
      <c r="D207" s="5">
        <v>1300</v>
      </c>
      <c r="E207" s="5">
        <v>5614</v>
      </c>
      <c r="F207" s="5" t="s">
        <v>28</v>
      </c>
      <c r="G207" s="5">
        <v>80</v>
      </c>
      <c r="H207" s="5" t="s">
        <v>29</v>
      </c>
      <c r="I207" s="5" t="s">
        <v>30</v>
      </c>
      <c r="J207" s="5">
        <v>1539752400</v>
      </c>
      <c r="K207" s="5">
        <v>1540789200</v>
      </c>
      <c r="L207" s="5" t="b">
        <v>1</v>
      </c>
      <c r="M207" s="5" t="b">
        <v>0</v>
      </c>
      <c r="N207" s="5" t="s">
        <v>41</v>
      </c>
      <c r="O207" s="8">
        <f t="shared" si="0"/>
        <v>4.3184615384615386</v>
      </c>
      <c r="P207" s="9">
        <f t="shared" si="2"/>
        <v>70.174999999999997</v>
      </c>
      <c r="Q207" s="5" t="str" cm="1">
        <f t="array" ref="Q207:R207">_xlfn.TEXTSPLIT(N207,"/")</f>
        <v>theater</v>
      </c>
      <c r="R207" t="str">
        <v>plays</v>
      </c>
      <c r="S207" s="10">
        <f t="shared" ref="S207:T207" si="207">(((J207/60)/60)/24)+DATE(1970,1,1)</f>
        <v>43390.208333333328</v>
      </c>
      <c r="T207" s="10">
        <f t="shared" si="207"/>
        <v>43402.208333333328</v>
      </c>
    </row>
    <row r="208" spans="1:20" ht="15.75" customHeight="1" x14ac:dyDescent="0.25">
      <c r="A208" s="5">
        <v>206</v>
      </c>
      <c r="B208" s="6" t="s">
        <v>472</v>
      </c>
      <c r="C208" s="7" t="s">
        <v>473</v>
      </c>
      <c r="D208" s="5">
        <v>9000</v>
      </c>
      <c r="E208" s="5">
        <v>3496</v>
      </c>
      <c r="F208" s="5" t="s">
        <v>82</v>
      </c>
      <c r="G208" s="5">
        <v>57</v>
      </c>
      <c r="H208" s="5" t="s">
        <v>29</v>
      </c>
      <c r="I208" s="5" t="s">
        <v>30</v>
      </c>
      <c r="J208" s="5">
        <v>1267250400</v>
      </c>
      <c r="K208" s="5">
        <v>1268028000</v>
      </c>
      <c r="L208" s="5" t="b">
        <v>0</v>
      </c>
      <c r="M208" s="5" t="b">
        <v>0</v>
      </c>
      <c r="N208" s="5" t="s">
        <v>127</v>
      </c>
      <c r="O208" s="8">
        <f t="shared" si="0"/>
        <v>0.38844444444444443</v>
      </c>
      <c r="P208" s="9">
        <f t="shared" si="2"/>
        <v>61.333333333333336</v>
      </c>
      <c r="Q208" s="5" t="str" cm="1">
        <f t="array" ref="Q208:R208">_xlfn.TEXTSPLIT(N208,"/")</f>
        <v>publishing</v>
      </c>
      <c r="R208" t="str">
        <v>fiction</v>
      </c>
      <c r="S208" s="10">
        <f t="shared" ref="S208:T208" si="208">(((J208/60)/60)/24)+DATE(1970,1,1)</f>
        <v>40236.25</v>
      </c>
      <c r="T208" s="10">
        <f t="shared" si="208"/>
        <v>40245.25</v>
      </c>
    </row>
    <row r="209" spans="1:20" ht="15.75" customHeight="1" x14ac:dyDescent="0.25">
      <c r="A209" s="5">
        <v>207</v>
      </c>
      <c r="B209" s="6" t="s">
        <v>474</v>
      </c>
      <c r="C209" s="7" t="s">
        <v>475</v>
      </c>
      <c r="D209" s="5">
        <v>1000</v>
      </c>
      <c r="E209" s="5">
        <v>4257</v>
      </c>
      <c r="F209" s="5" t="s">
        <v>28</v>
      </c>
      <c r="G209" s="5">
        <v>43</v>
      </c>
      <c r="H209" s="5" t="s">
        <v>29</v>
      </c>
      <c r="I209" s="5" t="s">
        <v>30</v>
      </c>
      <c r="J209" s="5">
        <v>1535432400</v>
      </c>
      <c r="K209" s="5">
        <v>1537160400</v>
      </c>
      <c r="L209" s="5" t="b">
        <v>0</v>
      </c>
      <c r="M209" s="5" t="b">
        <v>1</v>
      </c>
      <c r="N209" s="5" t="s">
        <v>31</v>
      </c>
      <c r="O209" s="8">
        <f t="shared" si="0"/>
        <v>4.2569999999999997</v>
      </c>
      <c r="P209" s="9">
        <f t="shared" si="2"/>
        <v>99</v>
      </c>
      <c r="Q209" s="5" t="str" cm="1">
        <f t="array" ref="Q209:R209">_xlfn.TEXTSPLIT(N209,"/")</f>
        <v>music</v>
      </c>
      <c r="R209" t="str">
        <v>rock</v>
      </c>
      <c r="S209" s="10">
        <f t="shared" ref="S209:T209" si="209">(((J209/60)/60)/24)+DATE(1970,1,1)</f>
        <v>43340.208333333328</v>
      </c>
      <c r="T209" s="10">
        <f t="shared" si="209"/>
        <v>43360.208333333328</v>
      </c>
    </row>
    <row r="210" spans="1:20" ht="15.75" customHeight="1" x14ac:dyDescent="0.25">
      <c r="A210" s="5">
        <v>208</v>
      </c>
      <c r="B210" s="6" t="s">
        <v>476</v>
      </c>
      <c r="C210" s="7" t="s">
        <v>477</v>
      </c>
      <c r="D210" s="5">
        <v>196900</v>
      </c>
      <c r="E210" s="5">
        <v>199110</v>
      </c>
      <c r="F210" s="5" t="s">
        <v>28</v>
      </c>
      <c r="G210" s="5">
        <v>2053</v>
      </c>
      <c r="H210" s="5" t="s">
        <v>29</v>
      </c>
      <c r="I210" s="5" t="s">
        <v>30</v>
      </c>
      <c r="J210" s="5">
        <v>1510207200</v>
      </c>
      <c r="K210" s="5">
        <v>1512280800</v>
      </c>
      <c r="L210" s="5" t="b">
        <v>0</v>
      </c>
      <c r="M210" s="5" t="b">
        <v>0</v>
      </c>
      <c r="N210" s="5" t="s">
        <v>50</v>
      </c>
      <c r="O210" s="8">
        <f t="shared" si="0"/>
        <v>1.0112239715591671</v>
      </c>
      <c r="P210" s="9">
        <f t="shared" si="2"/>
        <v>96.984900146127615</v>
      </c>
      <c r="Q210" s="5" t="str" cm="1">
        <f t="array" ref="Q210:R210">_xlfn.TEXTSPLIT(N210,"/")</f>
        <v>film &amp; video</v>
      </c>
      <c r="R210" t="str">
        <v>documentary</v>
      </c>
      <c r="S210" s="10">
        <f t="shared" ref="S210:T210" si="210">(((J210/60)/60)/24)+DATE(1970,1,1)</f>
        <v>43048.25</v>
      </c>
      <c r="T210" s="10">
        <f t="shared" si="210"/>
        <v>43072.25</v>
      </c>
    </row>
    <row r="211" spans="1:20" ht="15.75" customHeight="1" x14ac:dyDescent="0.25">
      <c r="A211" s="5">
        <v>209</v>
      </c>
      <c r="B211" s="6" t="s">
        <v>478</v>
      </c>
      <c r="C211" s="7" t="s">
        <v>479</v>
      </c>
      <c r="D211" s="5">
        <v>194500</v>
      </c>
      <c r="E211" s="5">
        <v>41212</v>
      </c>
      <c r="F211" s="5" t="s">
        <v>55</v>
      </c>
      <c r="G211" s="5">
        <v>808</v>
      </c>
      <c r="H211" s="5" t="s">
        <v>34</v>
      </c>
      <c r="I211" s="5" t="s">
        <v>35</v>
      </c>
      <c r="J211" s="5">
        <v>1462510800</v>
      </c>
      <c r="K211" s="5">
        <v>1463115600</v>
      </c>
      <c r="L211" s="5" t="b">
        <v>0</v>
      </c>
      <c r="M211" s="5" t="b">
        <v>0</v>
      </c>
      <c r="N211" s="5" t="s">
        <v>50</v>
      </c>
      <c r="O211" s="8">
        <f t="shared" si="0"/>
        <v>0.21188688946015424</v>
      </c>
      <c r="P211" s="9">
        <f t="shared" si="2"/>
        <v>51.004950495049506</v>
      </c>
      <c r="Q211" s="5" t="str" cm="1">
        <f t="array" ref="Q211:R211">_xlfn.TEXTSPLIT(N211,"/")</f>
        <v>film &amp; video</v>
      </c>
      <c r="R211" t="str">
        <v>documentary</v>
      </c>
      <c r="S211" s="10">
        <f t="shared" ref="S211:T211" si="211">(((J211/60)/60)/24)+DATE(1970,1,1)</f>
        <v>42496.208333333328</v>
      </c>
      <c r="T211" s="10">
        <f t="shared" si="211"/>
        <v>42503.208333333328</v>
      </c>
    </row>
    <row r="212" spans="1:20" ht="15.75" customHeight="1" x14ac:dyDescent="0.25">
      <c r="A212" s="5">
        <v>210</v>
      </c>
      <c r="B212" s="6" t="s">
        <v>480</v>
      </c>
      <c r="C212" s="7" t="s">
        <v>481</v>
      </c>
      <c r="D212" s="5">
        <v>9400</v>
      </c>
      <c r="E212" s="5">
        <v>6338</v>
      </c>
      <c r="F212" s="5" t="s">
        <v>22</v>
      </c>
      <c r="G212" s="5">
        <v>226</v>
      </c>
      <c r="H212" s="5" t="s">
        <v>44</v>
      </c>
      <c r="I212" s="5" t="s">
        <v>45</v>
      </c>
      <c r="J212" s="5">
        <v>1488520800</v>
      </c>
      <c r="K212" s="5">
        <v>1490850000</v>
      </c>
      <c r="L212" s="5" t="b">
        <v>0</v>
      </c>
      <c r="M212" s="5" t="b">
        <v>0</v>
      </c>
      <c r="N212" s="5" t="s">
        <v>482</v>
      </c>
      <c r="O212" s="8">
        <f t="shared" si="0"/>
        <v>0.67425531914893622</v>
      </c>
      <c r="P212" s="9">
        <f t="shared" si="2"/>
        <v>28.044247787610619</v>
      </c>
      <c r="Q212" s="5" t="str" cm="1">
        <f t="array" ref="Q212:R212">_xlfn.TEXTSPLIT(N212,"/")</f>
        <v>film &amp; video</v>
      </c>
      <c r="R212" t="str">
        <v>science fiction</v>
      </c>
      <c r="S212" s="10">
        <f t="shared" ref="S212:T212" si="212">(((J212/60)/60)/24)+DATE(1970,1,1)</f>
        <v>42797.25</v>
      </c>
      <c r="T212" s="10">
        <f t="shared" si="212"/>
        <v>42824.208333333328</v>
      </c>
    </row>
    <row r="213" spans="1:20" ht="15.75" customHeight="1" x14ac:dyDescent="0.25">
      <c r="A213" s="5">
        <v>211</v>
      </c>
      <c r="B213" s="6" t="s">
        <v>483</v>
      </c>
      <c r="C213" s="7" t="s">
        <v>484</v>
      </c>
      <c r="D213" s="5">
        <v>104400</v>
      </c>
      <c r="E213" s="5">
        <v>99100</v>
      </c>
      <c r="F213" s="5" t="s">
        <v>22</v>
      </c>
      <c r="G213" s="5">
        <v>1625</v>
      </c>
      <c r="H213" s="5" t="s">
        <v>29</v>
      </c>
      <c r="I213" s="5" t="s">
        <v>30</v>
      </c>
      <c r="J213" s="5">
        <v>1377579600</v>
      </c>
      <c r="K213" s="5">
        <v>1379653200</v>
      </c>
      <c r="L213" s="5" t="b">
        <v>0</v>
      </c>
      <c r="M213" s="5" t="b">
        <v>0</v>
      </c>
      <c r="N213" s="5" t="s">
        <v>41</v>
      </c>
      <c r="O213" s="8">
        <f t="shared" si="0"/>
        <v>0.9492337164750958</v>
      </c>
      <c r="P213" s="9">
        <f t="shared" si="2"/>
        <v>60.984615384615381</v>
      </c>
      <c r="Q213" s="5" t="str" cm="1">
        <f t="array" ref="Q213:R213">_xlfn.TEXTSPLIT(N213,"/")</f>
        <v>theater</v>
      </c>
      <c r="R213" t="str">
        <v>plays</v>
      </c>
      <c r="S213" s="10">
        <f t="shared" ref="S213:T213" si="213">(((J213/60)/60)/24)+DATE(1970,1,1)</f>
        <v>41513.208333333336</v>
      </c>
      <c r="T213" s="10">
        <f t="shared" si="213"/>
        <v>41537.208333333336</v>
      </c>
    </row>
    <row r="214" spans="1:20" ht="15.75" customHeight="1" x14ac:dyDescent="0.25">
      <c r="A214" s="5">
        <v>212</v>
      </c>
      <c r="B214" s="6" t="s">
        <v>485</v>
      </c>
      <c r="C214" s="7" t="s">
        <v>486</v>
      </c>
      <c r="D214" s="5">
        <v>8100</v>
      </c>
      <c r="E214" s="5">
        <v>12300</v>
      </c>
      <c r="F214" s="5" t="s">
        <v>28</v>
      </c>
      <c r="G214" s="5">
        <v>168</v>
      </c>
      <c r="H214" s="5" t="s">
        <v>29</v>
      </c>
      <c r="I214" s="5" t="s">
        <v>30</v>
      </c>
      <c r="J214" s="5">
        <v>1576389600</v>
      </c>
      <c r="K214" s="5">
        <v>1580364000</v>
      </c>
      <c r="L214" s="5" t="b">
        <v>0</v>
      </c>
      <c r="M214" s="5" t="b">
        <v>0</v>
      </c>
      <c r="N214" s="5" t="s">
        <v>41</v>
      </c>
      <c r="O214" s="8">
        <f t="shared" si="0"/>
        <v>1.5185185185185186</v>
      </c>
      <c r="P214" s="9">
        <f t="shared" si="2"/>
        <v>73.214285714285708</v>
      </c>
      <c r="Q214" s="5" t="str" cm="1">
        <f t="array" ref="Q214:R214">_xlfn.TEXTSPLIT(N214,"/")</f>
        <v>theater</v>
      </c>
      <c r="R214" t="str">
        <v>plays</v>
      </c>
      <c r="S214" s="10">
        <f t="shared" ref="S214:T214" si="214">(((J214/60)/60)/24)+DATE(1970,1,1)</f>
        <v>43814.25</v>
      </c>
      <c r="T214" s="10">
        <f t="shared" si="214"/>
        <v>43860.25</v>
      </c>
    </row>
    <row r="215" spans="1:20" ht="15.75" customHeight="1" x14ac:dyDescent="0.25">
      <c r="A215" s="5">
        <v>213</v>
      </c>
      <c r="B215" s="6" t="s">
        <v>487</v>
      </c>
      <c r="C215" s="7" t="s">
        <v>488</v>
      </c>
      <c r="D215" s="5">
        <v>87900</v>
      </c>
      <c r="E215" s="5">
        <v>171549</v>
      </c>
      <c r="F215" s="5" t="s">
        <v>28</v>
      </c>
      <c r="G215" s="5">
        <v>4289</v>
      </c>
      <c r="H215" s="5" t="s">
        <v>29</v>
      </c>
      <c r="I215" s="5" t="s">
        <v>30</v>
      </c>
      <c r="J215" s="5">
        <v>1289019600</v>
      </c>
      <c r="K215" s="5">
        <v>1289714400</v>
      </c>
      <c r="L215" s="5" t="b">
        <v>0</v>
      </c>
      <c r="M215" s="5" t="b">
        <v>1</v>
      </c>
      <c r="N215" s="5" t="s">
        <v>68</v>
      </c>
      <c r="O215" s="8">
        <f t="shared" si="0"/>
        <v>1.9516382252559727</v>
      </c>
      <c r="P215" s="9">
        <f t="shared" si="2"/>
        <v>39.997435299603637</v>
      </c>
      <c r="Q215" s="5" t="str" cm="1">
        <f t="array" ref="Q215:R215">_xlfn.TEXTSPLIT(N215,"/")</f>
        <v>music</v>
      </c>
      <c r="R215" t="str">
        <v>indie rock</v>
      </c>
      <c r="S215" s="10">
        <f t="shared" ref="S215:T215" si="215">(((J215/60)/60)/24)+DATE(1970,1,1)</f>
        <v>40488.208333333336</v>
      </c>
      <c r="T215" s="10">
        <f t="shared" si="215"/>
        <v>40496.25</v>
      </c>
    </row>
    <row r="216" spans="1:20" ht="15.75" customHeight="1" x14ac:dyDescent="0.25">
      <c r="A216" s="5">
        <v>214</v>
      </c>
      <c r="B216" s="6" t="s">
        <v>489</v>
      </c>
      <c r="C216" s="7" t="s">
        <v>490</v>
      </c>
      <c r="D216" s="5">
        <v>1400</v>
      </c>
      <c r="E216" s="5">
        <v>14324</v>
      </c>
      <c r="F216" s="5" t="s">
        <v>28</v>
      </c>
      <c r="G216" s="5">
        <v>165</v>
      </c>
      <c r="H216" s="5" t="s">
        <v>29</v>
      </c>
      <c r="I216" s="5" t="s">
        <v>30</v>
      </c>
      <c r="J216" s="5">
        <v>1282194000</v>
      </c>
      <c r="K216" s="5">
        <v>1282712400</v>
      </c>
      <c r="L216" s="5" t="b">
        <v>0</v>
      </c>
      <c r="M216" s="5" t="b">
        <v>0</v>
      </c>
      <c r="N216" s="5" t="s">
        <v>31</v>
      </c>
      <c r="O216" s="8">
        <f t="shared" si="0"/>
        <v>10.231428571428571</v>
      </c>
      <c r="P216" s="9">
        <f t="shared" si="2"/>
        <v>86.812121212121212</v>
      </c>
      <c r="Q216" s="5" t="str" cm="1">
        <f t="array" ref="Q216:R216">_xlfn.TEXTSPLIT(N216,"/")</f>
        <v>music</v>
      </c>
      <c r="R216" t="str">
        <v>rock</v>
      </c>
      <c r="S216" s="10">
        <f t="shared" ref="S216:T216" si="216">(((J216/60)/60)/24)+DATE(1970,1,1)</f>
        <v>40409.208333333336</v>
      </c>
      <c r="T216" s="10">
        <f t="shared" si="216"/>
        <v>40415.208333333336</v>
      </c>
    </row>
    <row r="217" spans="1:20" ht="15.75" customHeight="1" x14ac:dyDescent="0.25">
      <c r="A217" s="5">
        <v>215</v>
      </c>
      <c r="B217" s="6" t="s">
        <v>491</v>
      </c>
      <c r="C217" s="7" t="s">
        <v>492</v>
      </c>
      <c r="D217" s="5">
        <v>156800</v>
      </c>
      <c r="E217" s="5">
        <v>6024</v>
      </c>
      <c r="F217" s="5" t="s">
        <v>22</v>
      </c>
      <c r="G217" s="5">
        <v>143</v>
      </c>
      <c r="H217" s="5" t="s">
        <v>29</v>
      </c>
      <c r="I217" s="5" t="s">
        <v>30</v>
      </c>
      <c r="J217" s="5">
        <v>1550037600</v>
      </c>
      <c r="K217" s="5">
        <v>1550210400</v>
      </c>
      <c r="L217" s="5" t="b">
        <v>0</v>
      </c>
      <c r="M217" s="5" t="b">
        <v>0</v>
      </c>
      <c r="N217" s="5" t="s">
        <v>41</v>
      </c>
      <c r="O217" s="8">
        <f t="shared" si="0"/>
        <v>3.8418367346938778E-2</v>
      </c>
      <c r="P217" s="9">
        <f t="shared" si="2"/>
        <v>42.125874125874127</v>
      </c>
      <c r="Q217" s="5" t="str" cm="1">
        <f t="array" ref="Q217:R217">_xlfn.TEXTSPLIT(N217,"/")</f>
        <v>theater</v>
      </c>
      <c r="R217" t="str">
        <v>plays</v>
      </c>
      <c r="S217" s="10">
        <f t="shared" ref="S217:T217" si="217">(((J217/60)/60)/24)+DATE(1970,1,1)</f>
        <v>43509.25</v>
      </c>
      <c r="T217" s="10">
        <f t="shared" si="217"/>
        <v>43511.25</v>
      </c>
    </row>
    <row r="218" spans="1:20" ht="15.75" customHeight="1" x14ac:dyDescent="0.25">
      <c r="A218" s="5">
        <v>216</v>
      </c>
      <c r="B218" s="6" t="s">
        <v>493</v>
      </c>
      <c r="C218" s="7" t="s">
        <v>494</v>
      </c>
      <c r="D218" s="5">
        <v>121700</v>
      </c>
      <c r="E218" s="5">
        <v>188721</v>
      </c>
      <c r="F218" s="5" t="s">
        <v>28</v>
      </c>
      <c r="G218" s="5">
        <v>1815</v>
      </c>
      <c r="H218" s="5" t="s">
        <v>29</v>
      </c>
      <c r="I218" s="5" t="s">
        <v>30</v>
      </c>
      <c r="J218" s="5">
        <v>1321941600</v>
      </c>
      <c r="K218" s="5">
        <v>1322114400</v>
      </c>
      <c r="L218" s="5" t="b">
        <v>0</v>
      </c>
      <c r="M218" s="5" t="b">
        <v>0</v>
      </c>
      <c r="N218" s="5" t="s">
        <v>41</v>
      </c>
      <c r="O218" s="8">
        <f t="shared" si="0"/>
        <v>1.5507066557107643</v>
      </c>
      <c r="P218" s="9">
        <f t="shared" si="2"/>
        <v>103.97851239669421</v>
      </c>
      <c r="Q218" s="5" t="str" cm="1">
        <f t="array" ref="Q218:R218">_xlfn.TEXTSPLIT(N218,"/")</f>
        <v>theater</v>
      </c>
      <c r="R218" t="str">
        <v>plays</v>
      </c>
      <c r="S218" s="10">
        <f t="shared" ref="S218:T218" si="218">(((J218/60)/60)/24)+DATE(1970,1,1)</f>
        <v>40869.25</v>
      </c>
      <c r="T218" s="10">
        <f t="shared" si="218"/>
        <v>40871.25</v>
      </c>
    </row>
    <row r="219" spans="1:20" ht="15.75" customHeight="1" x14ac:dyDescent="0.25">
      <c r="A219" s="5">
        <v>217</v>
      </c>
      <c r="B219" s="6" t="s">
        <v>495</v>
      </c>
      <c r="C219" s="7" t="s">
        <v>496</v>
      </c>
      <c r="D219" s="5">
        <v>129400</v>
      </c>
      <c r="E219" s="5">
        <v>57911</v>
      </c>
      <c r="F219" s="5" t="s">
        <v>22</v>
      </c>
      <c r="G219" s="5">
        <v>934</v>
      </c>
      <c r="H219" s="5" t="s">
        <v>29</v>
      </c>
      <c r="I219" s="5" t="s">
        <v>30</v>
      </c>
      <c r="J219" s="5">
        <v>1556427600</v>
      </c>
      <c r="K219" s="5">
        <v>1557205200</v>
      </c>
      <c r="L219" s="5" t="b">
        <v>0</v>
      </c>
      <c r="M219" s="5" t="b">
        <v>0</v>
      </c>
      <c r="N219" s="5" t="s">
        <v>482</v>
      </c>
      <c r="O219" s="8">
        <f t="shared" si="0"/>
        <v>0.44753477588871715</v>
      </c>
      <c r="P219" s="9">
        <f t="shared" si="2"/>
        <v>62.003211991434689</v>
      </c>
      <c r="Q219" s="5" t="str" cm="1">
        <f t="array" ref="Q219:R219">_xlfn.TEXTSPLIT(N219,"/")</f>
        <v>film &amp; video</v>
      </c>
      <c r="R219" t="str">
        <v>science fiction</v>
      </c>
      <c r="S219" s="10">
        <f t="shared" ref="S219:T219" si="219">(((J219/60)/60)/24)+DATE(1970,1,1)</f>
        <v>43583.208333333328</v>
      </c>
      <c r="T219" s="10">
        <f t="shared" si="219"/>
        <v>43592.208333333328</v>
      </c>
    </row>
    <row r="220" spans="1:20" ht="15.75" customHeight="1" x14ac:dyDescent="0.25">
      <c r="A220" s="5">
        <v>218</v>
      </c>
      <c r="B220" s="6" t="s">
        <v>497</v>
      </c>
      <c r="C220" s="7" t="s">
        <v>498</v>
      </c>
      <c r="D220" s="5">
        <v>5700</v>
      </c>
      <c r="E220" s="5">
        <v>12309</v>
      </c>
      <c r="F220" s="5" t="s">
        <v>28</v>
      </c>
      <c r="G220" s="5">
        <v>397</v>
      </c>
      <c r="H220" s="5" t="s">
        <v>48</v>
      </c>
      <c r="I220" s="5" t="s">
        <v>49</v>
      </c>
      <c r="J220" s="5">
        <v>1320991200</v>
      </c>
      <c r="K220" s="5">
        <v>1323928800</v>
      </c>
      <c r="L220" s="5" t="b">
        <v>0</v>
      </c>
      <c r="M220" s="5" t="b">
        <v>1</v>
      </c>
      <c r="N220" s="5" t="s">
        <v>108</v>
      </c>
      <c r="O220" s="8">
        <f t="shared" si="0"/>
        <v>2.1594736842105262</v>
      </c>
      <c r="P220" s="9">
        <f t="shared" si="2"/>
        <v>31.005037783375315</v>
      </c>
      <c r="Q220" s="5" t="str" cm="1">
        <f t="array" ref="Q220:R220">_xlfn.TEXTSPLIT(N220,"/")</f>
        <v>film &amp; video</v>
      </c>
      <c r="R220" t="str">
        <v>shorts</v>
      </c>
      <c r="S220" s="10">
        <f t="shared" ref="S220:T220" si="220">(((J220/60)/60)/24)+DATE(1970,1,1)</f>
        <v>40858.25</v>
      </c>
      <c r="T220" s="10">
        <f t="shared" si="220"/>
        <v>40892.25</v>
      </c>
    </row>
    <row r="221" spans="1:20" ht="15.75" customHeight="1" x14ac:dyDescent="0.25">
      <c r="A221" s="5">
        <v>219</v>
      </c>
      <c r="B221" s="6" t="s">
        <v>499</v>
      </c>
      <c r="C221" s="7" t="s">
        <v>500</v>
      </c>
      <c r="D221" s="5">
        <v>41700</v>
      </c>
      <c r="E221" s="5">
        <v>138497</v>
      </c>
      <c r="F221" s="5" t="s">
        <v>28</v>
      </c>
      <c r="G221" s="5">
        <v>1539</v>
      </c>
      <c r="H221" s="5" t="s">
        <v>29</v>
      </c>
      <c r="I221" s="5" t="s">
        <v>30</v>
      </c>
      <c r="J221" s="5">
        <v>1345093200</v>
      </c>
      <c r="K221" s="5">
        <v>1346130000</v>
      </c>
      <c r="L221" s="5" t="b">
        <v>0</v>
      </c>
      <c r="M221" s="5" t="b">
        <v>0</v>
      </c>
      <c r="N221" s="5" t="s">
        <v>79</v>
      </c>
      <c r="O221" s="8">
        <f t="shared" si="0"/>
        <v>3.3212709832134291</v>
      </c>
      <c r="P221" s="9">
        <f t="shared" si="2"/>
        <v>89.991552956465242</v>
      </c>
      <c r="Q221" s="5" t="str" cm="1">
        <f t="array" ref="Q221:R221">_xlfn.TEXTSPLIT(N221,"/")</f>
        <v>film &amp; video</v>
      </c>
      <c r="R221" t="str">
        <v>animation</v>
      </c>
      <c r="S221" s="10">
        <f t="shared" ref="S221:T221" si="221">(((J221/60)/60)/24)+DATE(1970,1,1)</f>
        <v>41137.208333333336</v>
      </c>
      <c r="T221" s="10">
        <f t="shared" si="221"/>
        <v>41149.208333333336</v>
      </c>
    </row>
    <row r="222" spans="1:20" ht="15.75" customHeight="1" x14ac:dyDescent="0.25">
      <c r="A222" s="5">
        <v>220</v>
      </c>
      <c r="B222" s="6" t="s">
        <v>501</v>
      </c>
      <c r="C222" s="7" t="s">
        <v>502</v>
      </c>
      <c r="D222" s="5">
        <v>7900</v>
      </c>
      <c r="E222" s="5">
        <v>667</v>
      </c>
      <c r="F222" s="5" t="s">
        <v>22</v>
      </c>
      <c r="G222" s="5">
        <v>17</v>
      </c>
      <c r="H222" s="5" t="s">
        <v>29</v>
      </c>
      <c r="I222" s="5" t="s">
        <v>30</v>
      </c>
      <c r="J222" s="5">
        <v>1309496400</v>
      </c>
      <c r="K222" s="5">
        <v>1311051600</v>
      </c>
      <c r="L222" s="5" t="b">
        <v>1</v>
      </c>
      <c r="M222" s="5" t="b">
        <v>0</v>
      </c>
      <c r="N222" s="5" t="s">
        <v>41</v>
      </c>
      <c r="O222" s="8">
        <f t="shared" si="0"/>
        <v>8.4430379746835441E-2</v>
      </c>
      <c r="P222" s="9">
        <f t="shared" si="2"/>
        <v>39.235294117647058</v>
      </c>
      <c r="Q222" s="5" t="str" cm="1">
        <f t="array" ref="Q222:R222">_xlfn.TEXTSPLIT(N222,"/")</f>
        <v>theater</v>
      </c>
      <c r="R222" t="str">
        <v>plays</v>
      </c>
      <c r="S222" s="10">
        <f t="shared" ref="S222:T222" si="222">(((J222/60)/60)/24)+DATE(1970,1,1)</f>
        <v>40725.208333333336</v>
      </c>
      <c r="T222" s="10">
        <f t="shared" si="222"/>
        <v>40743.208333333336</v>
      </c>
    </row>
    <row r="223" spans="1:20" ht="15.75" customHeight="1" x14ac:dyDescent="0.25">
      <c r="A223" s="5">
        <v>221</v>
      </c>
      <c r="B223" s="6" t="s">
        <v>503</v>
      </c>
      <c r="C223" s="7" t="s">
        <v>504</v>
      </c>
      <c r="D223" s="5">
        <v>121500</v>
      </c>
      <c r="E223" s="5">
        <v>119830</v>
      </c>
      <c r="F223" s="5" t="s">
        <v>22</v>
      </c>
      <c r="G223" s="5">
        <v>2179</v>
      </c>
      <c r="H223" s="5" t="s">
        <v>29</v>
      </c>
      <c r="I223" s="5" t="s">
        <v>30</v>
      </c>
      <c r="J223" s="5">
        <v>1340254800</v>
      </c>
      <c r="K223" s="5">
        <v>1340427600</v>
      </c>
      <c r="L223" s="5" t="b">
        <v>1</v>
      </c>
      <c r="M223" s="5" t="b">
        <v>0</v>
      </c>
      <c r="N223" s="5" t="s">
        <v>25</v>
      </c>
      <c r="O223" s="8">
        <f t="shared" si="0"/>
        <v>0.9862551440329218</v>
      </c>
      <c r="P223" s="9">
        <f t="shared" si="2"/>
        <v>54.993116108306566</v>
      </c>
      <c r="Q223" s="5" t="str" cm="1">
        <f t="array" ref="Q223:R223">_xlfn.TEXTSPLIT(N223,"/")</f>
        <v>food</v>
      </c>
      <c r="R223" t="str">
        <v>food trucks</v>
      </c>
      <c r="S223" s="10">
        <f t="shared" ref="S223:T223" si="223">(((J223/60)/60)/24)+DATE(1970,1,1)</f>
        <v>41081.208333333336</v>
      </c>
      <c r="T223" s="10">
        <f t="shared" si="223"/>
        <v>41083.208333333336</v>
      </c>
    </row>
    <row r="224" spans="1:20" ht="15.75" customHeight="1" x14ac:dyDescent="0.25">
      <c r="A224" s="5">
        <v>222</v>
      </c>
      <c r="B224" s="6" t="s">
        <v>505</v>
      </c>
      <c r="C224" s="7" t="s">
        <v>506</v>
      </c>
      <c r="D224" s="5">
        <v>4800</v>
      </c>
      <c r="E224" s="5">
        <v>6623</v>
      </c>
      <c r="F224" s="5" t="s">
        <v>28</v>
      </c>
      <c r="G224" s="5">
        <v>138</v>
      </c>
      <c r="H224" s="5" t="s">
        <v>29</v>
      </c>
      <c r="I224" s="5" t="s">
        <v>30</v>
      </c>
      <c r="J224" s="5">
        <v>1412226000</v>
      </c>
      <c r="K224" s="5">
        <v>1412312400</v>
      </c>
      <c r="L224" s="5" t="b">
        <v>0</v>
      </c>
      <c r="M224" s="5" t="b">
        <v>0</v>
      </c>
      <c r="N224" s="5" t="s">
        <v>130</v>
      </c>
      <c r="O224" s="8">
        <f t="shared" si="0"/>
        <v>1.3797916666666667</v>
      </c>
      <c r="P224" s="9">
        <f t="shared" si="2"/>
        <v>47.992753623188406</v>
      </c>
      <c r="Q224" s="5" t="str" cm="1">
        <f t="array" ref="Q224:R224">_xlfn.TEXTSPLIT(N224,"/")</f>
        <v>photography</v>
      </c>
      <c r="R224" t="str">
        <v>photography books</v>
      </c>
      <c r="S224" s="10">
        <f t="shared" ref="S224:T224" si="224">(((J224/60)/60)/24)+DATE(1970,1,1)</f>
        <v>41914.208333333336</v>
      </c>
      <c r="T224" s="10">
        <f t="shared" si="224"/>
        <v>41915.208333333336</v>
      </c>
    </row>
    <row r="225" spans="1:20" ht="15.75" customHeight="1" x14ac:dyDescent="0.25">
      <c r="A225" s="5">
        <v>223</v>
      </c>
      <c r="B225" s="6" t="s">
        <v>507</v>
      </c>
      <c r="C225" s="7" t="s">
        <v>508</v>
      </c>
      <c r="D225" s="5">
        <v>87300</v>
      </c>
      <c r="E225" s="5">
        <v>81897</v>
      </c>
      <c r="F225" s="5" t="s">
        <v>22</v>
      </c>
      <c r="G225" s="5">
        <v>931</v>
      </c>
      <c r="H225" s="5" t="s">
        <v>29</v>
      </c>
      <c r="I225" s="5" t="s">
        <v>30</v>
      </c>
      <c r="J225" s="5">
        <v>1458104400</v>
      </c>
      <c r="K225" s="5">
        <v>1459314000</v>
      </c>
      <c r="L225" s="5" t="b">
        <v>0</v>
      </c>
      <c r="M225" s="5" t="b">
        <v>0</v>
      </c>
      <c r="N225" s="5" t="s">
        <v>41</v>
      </c>
      <c r="O225" s="8">
        <f t="shared" si="0"/>
        <v>0.93810996563573879</v>
      </c>
      <c r="P225" s="9">
        <f t="shared" si="2"/>
        <v>87.966702470461868</v>
      </c>
      <c r="Q225" s="5" t="str" cm="1">
        <f t="array" ref="Q225:R225">_xlfn.TEXTSPLIT(N225,"/")</f>
        <v>theater</v>
      </c>
      <c r="R225" t="str">
        <v>plays</v>
      </c>
      <c r="S225" s="10">
        <f t="shared" ref="S225:T225" si="225">(((J225/60)/60)/24)+DATE(1970,1,1)</f>
        <v>42445.208333333328</v>
      </c>
      <c r="T225" s="10">
        <f t="shared" si="225"/>
        <v>42459.208333333328</v>
      </c>
    </row>
    <row r="226" spans="1:20" ht="15.75" customHeight="1" x14ac:dyDescent="0.25">
      <c r="A226" s="5">
        <v>224</v>
      </c>
      <c r="B226" s="6" t="s">
        <v>509</v>
      </c>
      <c r="C226" s="7" t="s">
        <v>510</v>
      </c>
      <c r="D226" s="5">
        <v>46300</v>
      </c>
      <c r="E226" s="5">
        <v>186885</v>
      </c>
      <c r="F226" s="5" t="s">
        <v>28</v>
      </c>
      <c r="G226" s="5">
        <v>3594</v>
      </c>
      <c r="H226" s="5" t="s">
        <v>29</v>
      </c>
      <c r="I226" s="5" t="s">
        <v>30</v>
      </c>
      <c r="J226" s="5">
        <v>1411534800</v>
      </c>
      <c r="K226" s="5">
        <v>1415426400</v>
      </c>
      <c r="L226" s="5" t="b">
        <v>0</v>
      </c>
      <c r="M226" s="5" t="b">
        <v>0</v>
      </c>
      <c r="N226" s="5" t="s">
        <v>482</v>
      </c>
      <c r="O226" s="8">
        <f t="shared" si="0"/>
        <v>4.0363930885529156</v>
      </c>
      <c r="P226" s="9">
        <f t="shared" si="2"/>
        <v>51.999165275459099</v>
      </c>
      <c r="Q226" s="5" t="str" cm="1">
        <f t="array" ref="Q226:R226">_xlfn.TEXTSPLIT(N226,"/")</f>
        <v>film &amp; video</v>
      </c>
      <c r="R226" t="str">
        <v>science fiction</v>
      </c>
      <c r="S226" s="10">
        <f t="shared" ref="S226:T226" si="226">(((J226/60)/60)/24)+DATE(1970,1,1)</f>
        <v>41906.208333333336</v>
      </c>
      <c r="T226" s="10">
        <f t="shared" si="226"/>
        <v>41951.25</v>
      </c>
    </row>
    <row r="227" spans="1:20" ht="15.75" customHeight="1" x14ac:dyDescent="0.25">
      <c r="A227" s="5">
        <v>225</v>
      </c>
      <c r="B227" s="6" t="s">
        <v>511</v>
      </c>
      <c r="C227" s="7" t="s">
        <v>512</v>
      </c>
      <c r="D227" s="5">
        <v>67800</v>
      </c>
      <c r="E227" s="5">
        <v>176398</v>
      </c>
      <c r="F227" s="5" t="s">
        <v>28</v>
      </c>
      <c r="G227" s="5">
        <v>5880</v>
      </c>
      <c r="H227" s="5" t="s">
        <v>29</v>
      </c>
      <c r="I227" s="5" t="s">
        <v>30</v>
      </c>
      <c r="J227" s="5">
        <v>1399093200</v>
      </c>
      <c r="K227" s="5">
        <v>1399093200</v>
      </c>
      <c r="L227" s="5" t="b">
        <v>1</v>
      </c>
      <c r="M227" s="5" t="b">
        <v>0</v>
      </c>
      <c r="N227" s="5" t="s">
        <v>31</v>
      </c>
      <c r="O227" s="8">
        <f t="shared" si="0"/>
        <v>2.6017404129793511</v>
      </c>
      <c r="P227" s="9">
        <f t="shared" si="2"/>
        <v>29.999659863945578</v>
      </c>
      <c r="Q227" s="5" t="str" cm="1">
        <f t="array" ref="Q227:R227">_xlfn.TEXTSPLIT(N227,"/")</f>
        <v>music</v>
      </c>
      <c r="R227" t="str">
        <v>rock</v>
      </c>
      <c r="S227" s="10">
        <f t="shared" ref="S227:T227" si="227">(((J227/60)/60)/24)+DATE(1970,1,1)</f>
        <v>41762.208333333336</v>
      </c>
      <c r="T227" s="10">
        <f t="shared" si="227"/>
        <v>41762.208333333336</v>
      </c>
    </row>
    <row r="228" spans="1:20" ht="15.75" customHeight="1" x14ac:dyDescent="0.25">
      <c r="A228" s="5">
        <v>226</v>
      </c>
      <c r="B228" s="6" t="s">
        <v>261</v>
      </c>
      <c r="C228" s="7" t="s">
        <v>513</v>
      </c>
      <c r="D228" s="5">
        <v>3000</v>
      </c>
      <c r="E228" s="5">
        <v>10999</v>
      </c>
      <c r="F228" s="5" t="s">
        <v>28</v>
      </c>
      <c r="G228" s="5">
        <v>112</v>
      </c>
      <c r="H228" s="5" t="s">
        <v>29</v>
      </c>
      <c r="I228" s="5" t="s">
        <v>30</v>
      </c>
      <c r="J228" s="5">
        <v>1270702800</v>
      </c>
      <c r="K228" s="5">
        <v>1273899600</v>
      </c>
      <c r="L228" s="5" t="b">
        <v>0</v>
      </c>
      <c r="M228" s="5" t="b">
        <v>0</v>
      </c>
      <c r="N228" s="5" t="s">
        <v>130</v>
      </c>
      <c r="O228" s="8">
        <f t="shared" si="0"/>
        <v>3.6663333333333332</v>
      </c>
      <c r="P228" s="9">
        <f t="shared" si="2"/>
        <v>98.205357142857139</v>
      </c>
      <c r="Q228" s="5" t="str" cm="1">
        <f t="array" ref="Q228:R228">_xlfn.TEXTSPLIT(N228,"/")</f>
        <v>photography</v>
      </c>
      <c r="R228" t="str">
        <v>photography books</v>
      </c>
      <c r="S228" s="10">
        <f t="shared" ref="S228:T228" si="228">(((J228/60)/60)/24)+DATE(1970,1,1)</f>
        <v>40276.208333333336</v>
      </c>
      <c r="T228" s="10">
        <f t="shared" si="228"/>
        <v>40313.208333333336</v>
      </c>
    </row>
    <row r="229" spans="1:20" ht="15.75" customHeight="1" x14ac:dyDescent="0.25">
      <c r="A229" s="5">
        <v>227</v>
      </c>
      <c r="B229" s="6" t="s">
        <v>514</v>
      </c>
      <c r="C229" s="7" t="s">
        <v>515</v>
      </c>
      <c r="D229" s="5">
        <v>60900</v>
      </c>
      <c r="E229" s="5">
        <v>102751</v>
      </c>
      <c r="F229" s="5" t="s">
        <v>28</v>
      </c>
      <c r="G229" s="5">
        <v>943</v>
      </c>
      <c r="H229" s="5" t="s">
        <v>29</v>
      </c>
      <c r="I229" s="5" t="s">
        <v>30</v>
      </c>
      <c r="J229" s="5">
        <v>1431666000</v>
      </c>
      <c r="K229" s="5">
        <v>1432184400</v>
      </c>
      <c r="L229" s="5" t="b">
        <v>0</v>
      </c>
      <c r="M229" s="5" t="b">
        <v>0</v>
      </c>
      <c r="N229" s="5" t="s">
        <v>300</v>
      </c>
      <c r="O229" s="8">
        <f t="shared" si="0"/>
        <v>1.687208538587849</v>
      </c>
      <c r="P229" s="9">
        <f t="shared" si="2"/>
        <v>108.96182396606575</v>
      </c>
      <c r="Q229" s="5" t="str" cm="1">
        <f t="array" ref="Q229:R229">_xlfn.TEXTSPLIT(N229,"/")</f>
        <v>games</v>
      </c>
      <c r="R229" t="str">
        <v>mobile games</v>
      </c>
      <c r="S229" s="10">
        <f t="shared" ref="S229:T229" si="229">(((J229/60)/60)/24)+DATE(1970,1,1)</f>
        <v>42139.208333333328</v>
      </c>
      <c r="T229" s="10">
        <f t="shared" si="229"/>
        <v>42145.208333333328</v>
      </c>
    </row>
    <row r="230" spans="1:20" ht="15.75" customHeight="1" x14ac:dyDescent="0.25">
      <c r="A230" s="5">
        <v>228</v>
      </c>
      <c r="B230" s="6" t="s">
        <v>516</v>
      </c>
      <c r="C230" s="7" t="s">
        <v>517</v>
      </c>
      <c r="D230" s="5">
        <v>137900</v>
      </c>
      <c r="E230" s="5">
        <v>165352</v>
      </c>
      <c r="F230" s="5" t="s">
        <v>28</v>
      </c>
      <c r="G230" s="5">
        <v>2468</v>
      </c>
      <c r="H230" s="5" t="s">
        <v>29</v>
      </c>
      <c r="I230" s="5" t="s">
        <v>30</v>
      </c>
      <c r="J230" s="5">
        <v>1472619600</v>
      </c>
      <c r="K230" s="5">
        <v>1474779600</v>
      </c>
      <c r="L230" s="5" t="b">
        <v>0</v>
      </c>
      <c r="M230" s="5" t="b">
        <v>0</v>
      </c>
      <c r="N230" s="5" t="s">
        <v>79</v>
      </c>
      <c r="O230" s="8">
        <f t="shared" si="0"/>
        <v>1.1990717911530093</v>
      </c>
      <c r="P230" s="9">
        <f t="shared" si="2"/>
        <v>66.998379254457049</v>
      </c>
      <c r="Q230" s="5" t="str" cm="1">
        <f t="array" ref="Q230:R230">_xlfn.TEXTSPLIT(N230,"/")</f>
        <v>film &amp; video</v>
      </c>
      <c r="R230" t="str">
        <v>animation</v>
      </c>
      <c r="S230" s="10">
        <f t="shared" ref="S230:T230" si="230">(((J230/60)/60)/24)+DATE(1970,1,1)</f>
        <v>42613.208333333328</v>
      </c>
      <c r="T230" s="10">
        <f t="shared" si="230"/>
        <v>42638.208333333328</v>
      </c>
    </row>
    <row r="231" spans="1:20" ht="15.75" customHeight="1" x14ac:dyDescent="0.25">
      <c r="A231" s="5">
        <v>229</v>
      </c>
      <c r="B231" s="6" t="s">
        <v>518</v>
      </c>
      <c r="C231" s="7" t="s">
        <v>519</v>
      </c>
      <c r="D231" s="5">
        <v>85600</v>
      </c>
      <c r="E231" s="5">
        <v>165798</v>
      </c>
      <c r="F231" s="5" t="s">
        <v>28</v>
      </c>
      <c r="G231" s="5">
        <v>2551</v>
      </c>
      <c r="H231" s="5" t="s">
        <v>29</v>
      </c>
      <c r="I231" s="5" t="s">
        <v>30</v>
      </c>
      <c r="J231" s="5">
        <v>1496293200</v>
      </c>
      <c r="K231" s="5">
        <v>1500440400</v>
      </c>
      <c r="L231" s="5" t="b">
        <v>0</v>
      </c>
      <c r="M231" s="5" t="b">
        <v>1</v>
      </c>
      <c r="N231" s="5" t="s">
        <v>300</v>
      </c>
      <c r="O231" s="8">
        <f t="shared" si="0"/>
        <v>1.936892523364486</v>
      </c>
      <c r="P231" s="9">
        <f t="shared" si="2"/>
        <v>64.99333594668758</v>
      </c>
      <c r="Q231" s="5" t="str" cm="1">
        <f t="array" ref="Q231:R231">_xlfn.TEXTSPLIT(N231,"/")</f>
        <v>games</v>
      </c>
      <c r="R231" t="str">
        <v>mobile games</v>
      </c>
      <c r="S231" s="10">
        <f t="shared" ref="S231:T231" si="231">(((J231/60)/60)/24)+DATE(1970,1,1)</f>
        <v>42887.208333333328</v>
      </c>
      <c r="T231" s="10">
        <f t="shared" si="231"/>
        <v>42935.208333333328</v>
      </c>
    </row>
    <row r="232" spans="1:20" ht="15.75" customHeight="1" x14ac:dyDescent="0.25">
      <c r="A232" s="5">
        <v>230</v>
      </c>
      <c r="B232" s="6" t="s">
        <v>520</v>
      </c>
      <c r="C232" s="7" t="s">
        <v>521</v>
      </c>
      <c r="D232" s="5">
        <v>2400</v>
      </c>
      <c r="E232" s="5">
        <v>10084</v>
      </c>
      <c r="F232" s="5" t="s">
        <v>28</v>
      </c>
      <c r="G232" s="5">
        <v>101</v>
      </c>
      <c r="H232" s="5" t="s">
        <v>29</v>
      </c>
      <c r="I232" s="5" t="s">
        <v>30</v>
      </c>
      <c r="J232" s="5">
        <v>1575612000</v>
      </c>
      <c r="K232" s="5">
        <v>1575612000</v>
      </c>
      <c r="L232" s="5" t="b">
        <v>0</v>
      </c>
      <c r="M232" s="5" t="b">
        <v>0</v>
      </c>
      <c r="N232" s="5" t="s">
        <v>97</v>
      </c>
      <c r="O232" s="8">
        <f t="shared" si="0"/>
        <v>4.2016666666666671</v>
      </c>
      <c r="P232" s="9">
        <f t="shared" si="2"/>
        <v>99.841584158415841</v>
      </c>
      <c r="Q232" s="5" t="str" cm="1">
        <f t="array" ref="Q232:R232">_xlfn.TEXTSPLIT(N232,"/")</f>
        <v>games</v>
      </c>
      <c r="R232" t="str">
        <v>video games</v>
      </c>
      <c r="S232" s="10">
        <f t="shared" ref="S232:T232" si="232">(((J232/60)/60)/24)+DATE(1970,1,1)</f>
        <v>43805.25</v>
      </c>
      <c r="T232" s="10">
        <f t="shared" si="232"/>
        <v>43805.25</v>
      </c>
    </row>
    <row r="233" spans="1:20" ht="15.75" customHeight="1" x14ac:dyDescent="0.25">
      <c r="A233" s="5">
        <v>231</v>
      </c>
      <c r="B233" s="6" t="s">
        <v>522</v>
      </c>
      <c r="C233" s="7" t="s">
        <v>523</v>
      </c>
      <c r="D233" s="5">
        <v>7200</v>
      </c>
      <c r="E233" s="5">
        <v>5523</v>
      </c>
      <c r="F233" s="5" t="s">
        <v>82</v>
      </c>
      <c r="G233" s="5">
        <v>67</v>
      </c>
      <c r="H233" s="5" t="s">
        <v>29</v>
      </c>
      <c r="I233" s="5" t="s">
        <v>30</v>
      </c>
      <c r="J233" s="5">
        <v>1369112400</v>
      </c>
      <c r="K233" s="5">
        <v>1374123600</v>
      </c>
      <c r="L233" s="5" t="b">
        <v>0</v>
      </c>
      <c r="M233" s="5" t="b">
        <v>0</v>
      </c>
      <c r="N233" s="5" t="s">
        <v>41</v>
      </c>
      <c r="O233" s="8">
        <f t="shared" si="0"/>
        <v>0.76708333333333334</v>
      </c>
      <c r="P233" s="9">
        <f t="shared" si="2"/>
        <v>82.432835820895519</v>
      </c>
      <c r="Q233" s="5" t="str" cm="1">
        <f t="array" ref="Q233:R233">_xlfn.TEXTSPLIT(N233,"/")</f>
        <v>theater</v>
      </c>
      <c r="R233" t="str">
        <v>plays</v>
      </c>
      <c r="S233" s="10">
        <f t="shared" ref="S233:T233" si="233">(((J233/60)/60)/24)+DATE(1970,1,1)</f>
        <v>41415.208333333336</v>
      </c>
      <c r="T233" s="10">
        <f t="shared" si="233"/>
        <v>41473.208333333336</v>
      </c>
    </row>
    <row r="234" spans="1:20" ht="15.75" customHeight="1" x14ac:dyDescent="0.25">
      <c r="A234" s="5">
        <v>232</v>
      </c>
      <c r="B234" s="6" t="s">
        <v>524</v>
      </c>
      <c r="C234" s="7" t="s">
        <v>525</v>
      </c>
      <c r="D234" s="5">
        <v>3400</v>
      </c>
      <c r="E234" s="5">
        <v>5823</v>
      </c>
      <c r="F234" s="5" t="s">
        <v>28</v>
      </c>
      <c r="G234" s="5">
        <v>92</v>
      </c>
      <c r="H234" s="5" t="s">
        <v>29</v>
      </c>
      <c r="I234" s="5" t="s">
        <v>30</v>
      </c>
      <c r="J234" s="5">
        <v>1469422800</v>
      </c>
      <c r="K234" s="5">
        <v>1469509200</v>
      </c>
      <c r="L234" s="5" t="b">
        <v>0</v>
      </c>
      <c r="M234" s="5" t="b">
        <v>0</v>
      </c>
      <c r="N234" s="5" t="s">
        <v>41</v>
      </c>
      <c r="O234" s="8">
        <f t="shared" si="0"/>
        <v>1.7126470588235294</v>
      </c>
      <c r="P234" s="9">
        <f t="shared" si="2"/>
        <v>63.293478260869563</v>
      </c>
      <c r="Q234" s="5" t="str" cm="1">
        <f t="array" ref="Q234:R234">_xlfn.TEXTSPLIT(N234,"/")</f>
        <v>theater</v>
      </c>
      <c r="R234" t="str">
        <v>plays</v>
      </c>
      <c r="S234" s="10">
        <f t="shared" ref="S234:T234" si="234">(((J234/60)/60)/24)+DATE(1970,1,1)</f>
        <v>42576.208333333328</v>
      </c>
      <c r="T234" s="10">
        <f t="shared" si="234"/>
        <v>42577.208333333328</v>
      </c>
    </row>
    <row r="235" spans="1:20" ht="15.75" customHeight="1" x14ac:dyDescent="0.25">
      <c r="A235" s="5">
        <v>233</v>
      </c>
      <c r="B235" s="6" t="s">
        <v>526</v>
      </c>
      <c r="C235" s="7" t="s">
        <v>527</v>
      </c>
      <c r="D235" s="5">
        <v>3800</v>
      </c>
      <c r="E235" s="5">
        <v>6000</v>
      </c>
      <c r="F235" s="5" t="s">
        <v>28</v>
      </c>
      <c r="G235" s="5">
        <v>62</v>
      </c>
      <c r="H235" s="5" t="s">
        <v>29</v>
      </c>
      <c r="I235" s="5" t="s">
        <v>30</v>
      </c>
      <c r="J235" s="5">
        <v>1307854800</v>
      </c>
      <c r="K235" s="5">
        <v>1309237200</v>
      </c>
      <c r="L235" s="5" t="b">
        <v>0</v>
      </c>
      <c r="M235" s="5" t="b">
        <v>0</v>
      </c>
      <c r="N235" s="5" t="s">
        <v>79</v>
      </c>
      <c r="O235" s="8">
        <f t="shared" si="0"/>
        <v>1.5789473684210527</v>
      </c>
      <c r="P235" s="9">
        <f t="shared" si="2"/>
        <v>96.774193548387103</v>
      </c>
      <c r="Q235" s="5" t="str" cm="1">
        <f t="array" ref="Q235:R235">_xlfn.TEXTSPLIT(N235,"/")</f>
        <v>film &amp; video</v>
      </c>
      <c r="R235" t="str">
        <v>animation</v>
      </c>
      <c r="S235" s="10">
        <f t="shared" ref="S235:T235" si="235">(((J235/60)/60)/24)+DATE(1970,1,1)</f>
        <v>40706.208333333336</v>
      </c>
      <c r="T235" s="10">
        <f t="shared" si="235"/>
        <v>40722.208333333336</v>
      </c>
    </row>
    <row r="236" spans="1:20" ht="15.75" customHeight="1" x14ac:dyDescent="0.25">
      <c r="A236" s="5">
        <v>234</v>
      </c>
      <c r="B236" s="6" t="s">
        <v>528</v>
      </c>
      <c r="C236" s="7" t="s">
        <v>529</v>
      </c>
      <c r="D236" s="5">
        <v>7500</v>
      </c>
      <c r="E236" s="5">
        <v>8181</v>
      </c>
      <c r="F236" s="5" t="s">
        <v>28</v>
      </c>
      <c r="G236" s="5">
        <v>149</v>
      </c>
      <c r="H236" s="5" t="s">
        <v>115</v>
      </c>
      <c r="I236" s="5" t="s">
        <v>116</v>
      </c>
      <c r="J236" s="5">
        <v>1503378000</v>
      </c>
      <c r="K236" s="5">
        <v>1503982800</v>
      </c>
      <c r="L236" s="5" t="b">
        <v>0</v>
      </c>
      <c r="M236" s="5" t="b">
        <v>1</v>
      </c>
      <c r="N236" s="5" t="s">
        <v>97</v>
      </c>
      <c r="O236" s="8">
        <f t="shared" si="0"/>
        <v>1.0908</v>
      </c>
      <c r="P236" s="9">
        <f t="shared" si="2"/>
        <v>54.906040268456373</v>
      </c>
      <c r="Q236" s="5" t="str" cm="1">
        <f t="array" ref="Q236:R236">_xlfn.TEXTSPLIT(N236,"/")</f>
        <v>games</v>
      </c>
      <c r="R236" t="str">
        <v>video games</v>
      </c>
      <c r="S236" s="10">
        <f t="shared" ref="S236:T236" si="236">(((J236/60)/60)/24)+DATE(1970,1,1)</f>
        <v>42969.208333333328</v>
      </c>
      <c r="T236" s="10">
        <f t="shared" si="236"/>
        <v>42976.208333333328</v>
      </c>
    </row>
    <row r="237" spans="1:20" ht="15.75" customHeight="1" x14ac:dyDescent="0.25">
      <c r="A237" s="5">
        <v>235</v>
      </c>
      <c r="B237" s="6" t="s">
        <v>530</v>
      </c>
      <c r="C237" s="7" t="s">
        <v>531</v>
      </c>
      <c r="D237" s="5">
        <v>8600</v>
      </c>
      <c r="E237" s="5">
        <v>3589</v>
      </c>
      <c r="F237" s="5" t="s">
        <v>22</v>
      </c>
      <c r="G237" s="5">
        <v>92</v>
      </c>
      <c r="H237" s="5" t="s">
        <v>29</v>
      </c>
      <c r="I237" s="5" t="s">
        <v>30</v>
      </c>
      <c r="J237" s="5">
        <v>1486965600</v>
      </c>
      <c r="K237" s="5">
        <v>1487397600</v>
      </c>
      <c r="L237" s="5" t="b">
        <v>0</v>
      </c>
      <c r="M237" s="5" t="b">
        <v>0</v>
      </c>
      <c r="N237" s="5" t="s">
        <v>79</v>
      </c>
      <c r="O237" s="8">
        <f t="shared" si="0"/>
        <v>0.41732558139534881</v>
      </c>
      <c r="P237" s="9">
        <f t="shared" si="2"/>
        <v>39.010869565217391</v>
      </c>
      <c r="Q237" s="5" t="str" cm="1">
        <f t="array" ref="Q237:R237">_xlfn.TEXTSPLIT(N237,"/")</f>
        <v>film &amp; video</v>
      </c>
      <c r="R237" t="str">
        <v>animation</v>
      </c>
      <c r="S237" s="10">
        <f t="shared" ref="S237:T237" si="237">(((J237/60)/60)/24)+DATE(1970,1,1)</f>
        <v>42779.25</v>
      </c>
      <c r="T237" s="10">
        <f t="shared" si="237"/>
        <v>42784.25</v>
      </c>
    </row>
    <row r="238" spans="1:20" ht="15.75" customHeight="1" x14ac:dyDescent="0.25">
      <c r="A238" s="5">
        <v>236</v>
      </c>
      <c r="B238" s="6" t="s">
        <v>532</v>
      </c>
      <c r="C238" s="7" t="s">
        <v>533</v>
      </c>
      <c r="D238" s="5">
        <v>39500</v>
      </c>
      <c r="E238" s="5">
        <v>4323</v>
      </c>
      <c r="F238" s="5" t="s">
        <v>22</v>
      </c>
      <c r="G238" s="5">
        <v>57</v>
      </c>
      <c r="H238" s="5" t="s">
        <v>34</v>
      </c>
      <c r="I238" s="5" t="s">
        <v>35</v>
      </c>
      <c r="J238" s="5">
        <v>1561438800</v>
      </c>
      <c r="K238" s="5">
        <v>1562043600</v>
      </c>
      <c r="L238" s="5" t="b">
        <v>0</v>
      </c>
      <c r="M238" s="5" t="b">
        <v>1</v>
      </c>
      <c r="N238" s="5" t="s">
        <v>31</v>
      </c>
      <c r="O238" s="8">
        <f t="shared" si="0"/>
        <v>0.10944303797468355</v>
      </c>
      <c r="P238" s="9">
        <f t="shared" si="2"/>
        <v>75.84210526315789</v>
      </c>
      <c r="Q238" s="5" t="str" cm="1">
        <f t="array" ref="Q238:R238">_xlfn.TEXTSPLIT(N238,"/")</f>
        <v>music</v>
      </c>
      <c r="R238" t="str">
        <v>rock</v>
      </c>
      <c r="S238" s="10">
        <f t="shared" ref="S238:T238" si="238">(((J238/60)/60)/24)+DATE(1970,1,1)</f>
        <v>43641.208333333328</v>
      </c>
      <c r="T238" s="10">
        <f t="shared" si="238"/>
        <v>43648.208333333328</v>
      </c>
    </row>
    <row r="239" spans="1:20" ht="15.75" customHeight="1" x14ac:dyDescent="0.25">
      <c r="A239" s="5">
        <v>237</v>
      </c>
      <c r="B239" s="6" t="s">
        <v>534</v>
      </c>
      <c r="C239" s="7" t="s">
        <v>535</v>
      </c>
      <c r="D239" s="5">
        <v>9300</v>
      </c>
      <c r="E239" s="5">
        <v>14822</v>
      </c>
      <c r="F239" s="5" t="s">
        <v>28</v>
      </c>
      <c r="G239" s="5">
        <v>329</v>
      </c>
      <c r="H239" s="5" t="s">
        <v>29</v>
      </c>
      <c r="I239" s="5" t="s">
        <v>30</v>
      </c>
      <c r="J239" s="5">
        <v>1398402000</v>
      </c>
      <c r="K239" s="5">
        <v>1398574800</v>
      </c>
      <c r="L239" s="5" t="b">
        <v>0</v>
      </c>
      <c r="M239" s="5" t="b">
        <v>0</v>
      </c>
      <c r="N239" s="5" t="s">
        <v>79</v>
      </c>
      <c r="O239" s="8">
        <f t="shared" si="0"/>
        <v>1.593763440860215</v>
      </c>
      <c r="P239" s="9">
        <f t="shared" si="2"/>
        <v>45.051671732522799</v>
      </c>
      <c r="Q239" s="5" t="str" cm="1">
        <f t="array" ref="Q239:R239">_xlfn.TEXTSPLIT(N239,"/")</f>
        <v>film &amp; video</v>
      </c>
      <c r="R239" t="str">
        <v>animation</v>
      </c>
      <c r="S239" s="10">
        <f t="shared" ref="S239:T239" si="239">(((J239/60)/60)/24)+DATE(1970,1,1)</f>
        <v>41754.208333333336</v>
      </c>
      <c r="T239" s="10">
        <f t="shared" si="239"/>
        <v>41756.208333333336</v>
      </c>
    </row>
    <row r="240" spans="1:20" ht="15.75" customHeight="1" x14ac:dyDescent="0.25">
      <c r="A240" s="5">
        <v>238</v>
      </c>
      <c r="B240" s="6" t="s">
        <v>536</v>
      </c>
      <c r="C240" s="7" t="s">
        <v>537</v>
      </c>
      <c r="D240" s="5">
        <v>2400</v>
      </c>
      <c r="E240" s="5">
        <v>10138</v>
      </c>
      <c r="F240" s="5" t="s">
        <v>28</v>
      </c>
      <c r="G240" s="5">
        <v>97</v>
      </c>
      <c r="H240" s="5" t="s">
        <v>44</v>
      </c>
      <c r="I240" s="5" t="s">
        <v>45</v>
      </c>
      <c r="J240" s="5">
        <v>1513231200</v>
      </c>
      <c r="K240" s="5">
        <v>1515391200</v>
      </c>
      <c r="L240" s="5" t="b">
        <v>0</v>
      </c>
      <c r="M240" s="5" t="b">
        <v>1</v>
      </c>
      <c r="N240" s="5" t="s">
        <v>41</v>
      </c>
      <c r="O240" s="8">
        <f t="shared" si="0"/>
        <v>4.2241666666666671</v>
      </c>
      <c r="P240" s="9">
        <f t="shared" si="2"/>
        <v>104.51546391752578</v>
      </c>
      <c r="Q240" s="5" t="str" cm="1">
        <f t="array" ref="Q240:R240">_xlfn.TEXTSPLIT(N240,"/")</f>
        <v>theater</v>
      </c>
      <c r="R240" t="str">
        <v>plays</v>
      </c>
      <c r="S240" s="10">
        <f t="shared" ref="S240:T240" si="240">(((J240/60)/60)/24)+DATE(1970,1,1)</f>
        <v>43083.25</v>
      </c>
      <c r="T240" s="10">
        <f t="shared" si="240"/>
        <v>43108.25</v>
      </c>
    </row>
    <row r="241" spans="1:20" ht="15.75" customHeight="1" x14ac:dyDescent="0.25">
      <c r="A241" s="5">
        <v>239</v>
      </c>
      <c r="B241" s="6" t="s">
        <v>538</v>
      </c>
      <c r="C241" s="7" t="s">
        <v>539</v>
      </c>
      <c r="D241" s="5">
        <v>3200</v>
      </c>
      <c r="E241" s="5">
        <v>3127</v>
      </c>
      <c r="F241" s="5" t="s">
        <v>22</v>
      </c>
      <c r="G241" s="5">
        <v>41</v>
      </c>
      <c r="H241" s="5" t="s">
        <v>29</v>
      </c>
      <c r="I241" s="5" t="s">
        <v>30</v>
      </c>
      <c r="J241" s="5">
        <v>1440824400</v>
      </c>
      <c r="K241" s="5">
        <v>1441170000</v>
      </c>
      <c r="L241" s="5" t="b">
        <v>0</v>
      </c>
      <c r="M241" s="5" t="b">
        <v>0</v>
      </c>
      <c r="N241" s="5" t="s">
        <v>73</v>
      </c>
      <c r="O241" s="8">
        <f t="shared" si="0"/>
        <v>0.97718749999999999</v>
      </c>
      <c r="P241" s="9">
        <f t="shared" si="2"/>
        <v>76.268292682926827</v>
      </c>
      <c r="Q241" s="5" t="str" cm="1">
        <f t="array" ref="Q241:R241">_xlfn.TEXTSPLIT(N241,"/")</f>
        <v>technology</v>
      </c>
      <c r="R241" t="str">
        <v>wearables</v>
      </c>
      <c r="S241" s="10">
        <f t="shared" ref="S241:T241" si="241">(((J241/60)/60)/24)+DATE(1970,1,1)</f>
        <v>42245.208333333328</v>
      </c>
      <c r="T241" s="10">
        <f t="shared" si="241"/>
        <v>42249.208333333328</v>
      </c>
    </row>
    <row r="242" spans="1:20" ht="15.75" customHeight="1" x14ac:dyDescent="0.25">
      <c r="A242" s="5">
        <v>240</v>
      </c>
      <c r="B242" s="6" t="s">
        <v>540</v>
      </c>
      <c r="C242" s="7" t="s">
        <v>541</v>
      </c>
      <c r="D242" s="5">
        <v>29400</v>
      </c>
      <c r="E242" s="5">
        <v>123124</v>
      </c>
      <c r="F242" s="5" t="s">
        <v>28</v>
      </c>
      <c r="G242" s="5">
        <v>1784</v>
      </c>
      <c r="H242" s="5" t="s">
        <v>29</v>
      </c>
      <c r="I242" s="5" t="s">
        <v>30</v>
      </c>
      <c r="J242" s="5">
        <v>1281070800</v>
      </c>
      <c r="K242" s="5">
        <v>1281157200</v>
      </c>
      <c r="L242" s="5" t="b">
        <v>0</v>
      </c>
      <c r="M242" s="5" t="b">
        <v>0</v>
      </c>
      <c r="N242" s="5" t="s">
        <v>41</v>
      </c>
      <c r="O242" s="8">
        <f t="shared" si="0"/>
        <v>4.1878911564625847</v>
      </c>
      <c r="P242" s="9">
        <f t="shared" si="2"/>
        <v>69.015695067264573</v>
      </c>
      <c r="Q242" s="5" t="str" cm="1">
        <f t="array" ref="Q242:R242">_xlfn.TEXTSPLIT(N242,"/")</f>
        <v>theater</v>
      </c>
      <c r="R242" t="str">
        <v>plays</v>
      </c>
      <c r="S242" s="10">
        <f t="shared" ref="S242:T242" si="242">(((J242/60)/60)/24)+DATE(1970,1,1)</f>
        <v>40396.208333333336</v>
      </c>
      <c r="T242" s="10">
        <f t="shared" si="242"/>
        <v>40397.208333333336</v>
      </c>
    </row>
    <row r="243" spans="1:20" ht="15.75" customHeight="1" x14ac:dyDescent="0.25">
      <c r="A243" s="5">
        <v>241</v>
      </c>
      <c r="B243" s="6" t="s">
        <v>542</v>
      </c>
      <c r="C243" s="7" t="s">
        <v>543</v>
      </c>
      <c r="D243" s="5">
        <v>168500</v>
      </c>
      <c r="E243" s="5">
        <v>171729</v>
      </c>
      <c r="F243" s="5" t="s">
        <v>28</v>
      </c>
      <c r="G243" s="5">
        <v>1684</v>
      </c>
      <c r="H243" s="5" t="s">
        <v>34</v>
      </c>
      <c r="I243" s="5" t="s">
        <v>35</v>
      </c>
      <c r="J243" s="5">
        <v>1397365200</v>
      </c>
      <c r="K243" s="5">
        <v>1398229200</v>
      </c>
      <c r="L243" s="5" t="b">
        <v>0</v>
      </c>
      <c r="M243" s="5" t="b">
        <v>1</v>
      </c>
      <c r="N243" s="5" t="s">
        <v>76</v>
      </c>
      <c r="O243" s="8">
        <f t="shared" si="0"/>
        <v>1.0191632047477746</v>
      </c>
      <c r="P243" s="9">
        <f t="shared" si="2"/>
        <v>101.97684085510689</v>
      </c>
      <c r="Q243" s="5" t="str" cm="1">
        <f t="array" ref="Q243:R243">_xlfn.TEXTSPLIT(N243,"/")</f>
        <v>publishing</v>
      </c>
      <c r="R243" t="str">
        <v>nonfiction</v>
      </c>
      <c r="S243" s="10">
        <f t="shared" ref="S243:T243" si="243">(((J243/60)/60)/24)+DATE(1970,1,1)</f>
        <v>41742.208333333336</v>
      </c>
      <c r="T243" s="10">
        <f t="shared" si="243"/>
        <v>41752.208333333336</v>
      </c>
    </row>
    <row r="244" spans="1:20" ht="15.75" customHeight="1" x14ac:dyDescent="0.25">
      <c r="A244" s="5">
        <v>242</v>
      </c>
      <c r="B244" s="6" t="s">
        <v>544</v>
      </c>
      <c r="C244" s="7" t="s">
        <v>545</v>
      </c>
      <c r="D244" s="5">
        <v>8400</v>
      </c>
      <c r="E244" s="5">
        <v>10729</v>
      </c>
      <c r="F244" s="5" t="s">
        <v>28</v>
      </c>
      <c r="G244" s="5">
        <v>250</v>
      </c>
      <c r="H244" s="5" t="s">
        <v>29</v>
      </c>
      <c r="I244" s="5" t="s">
        <v>30</v>
      </c>
      <c r="J244" s="5">
        <v>1494392400</v>
      </c>
      <c r="K244" s="5">
        <v>1495256400</v>
      </c>
      <c r="L244" s="5" t="b">
        <v>0</v>
      </c>
      <c r="M244" s="5" t="b">
        <v>1</v>
      </c>
      <c r="N244" s="5" t="s">
        <v>31</v>
      </c>
      <c r="O244" s="8">
        <f t="shared" si="0"/>
        <v>1.2772619047619047</v>
      </c>
      <c r="P244" s="9">
        <f t="shared" si="2"/>
        <v>42.915999999999997</v>
      </c>
      <c r="Q244" s="5" t="str" cm="1">
        <f t="array" ref="Q244:R244">_xlfn.TEXTSPLIT(N244,"/")</f>
        <v>music</v>
      </c>
      <c r="R244" t="str">
        <v>rock</v>
      </c>
      <c r="S244" s="10">
        <f t="shared" ref="S244:T244" si="244">(((J244/60)/60)/24)+DATE(1970,1,1)</f>
        <v>42865.208333333328</v>
      </c>
      <c r="T244" s="10">
        <f t="shared" si="244"/>
        <v>42875.208333333328</v>
      </c>
    </row>
    <row r="245" spans="1:20" ht="15.75" customHeight="1" x14ac:dyDescent="0.25">
      <c r="A245" s="5">
        <v>243</v>
      </c>
      <c r="B245" s="6" t="s">
        <v>546</v>
      </c>
      <c r="C245" s="7" t="s">
        <v>547</v>
      </c>
      <c r="D245" s="5">
        <v>2300</v>
      </c>
      <c r="E245" s="5">
        <v>10240</v>
      </c>
      <c r="F245" s="5" t="s">
        <v>28</v>
      </c>
      <c r="G245" s="5">
        <v>238</v>
      </c>
      <c r="H245" s="5" t="s">
        <v>29</v>
      </c>
      <c r="I245" s="5" t="s">
        <v>30</v>
      </c>
      <c r="J245" s="5">
        <v>1520143200</v>
      </c>
      <c r="K245" s="5">
        <v>1520402400</v>
      </c>
      <c r="L245" s="5" t="b">
        <v>0</v>
      </c>
      <c r="M245" s="5" t="b">
        <v>0</v>
      </c>
      <c r="N245" s="5" t="s">
        <v>41</v>
      </c>
      <c r="O245" s="8">
        <f t="shared" si="0"/>
        <v>4.4521739130434783</v>
      </c>
      <c r="P245" s="9">
        <f t="shared" si="2"/>
        <v>43.025210084033617</v>
      </c>
      <c r="Q245" s="5" t="str" cm="1">
        <f t="array" ref="Q245:R245">_xlfn.TEXTSPLIT(N245,"/")</f>
        <v>theater</v>
      </c>
      <c r="R245" t="str">
        <v>plays</v>
      </c>
      <c r="S245" s="10">
        <f t="shared" ref="S245:T245" si="245">(((J245/60)/60)/24)+DATE(1970,1,1)</f>
        <v>43163.25</v>
      </c>
      <c r="T245" s="10">
        <f t="shared" si="245"/>
        <v>43166.25</v>
      </c>
    </row>
    <row r="246" spans="1:20" ht="15.75" customHeight="1" x14ac:dyDescent="0.25">
      <c r="A246" s="5">
        <v>244</v>
      </c>
      <c r="B246" s="6" t="s">
        <v>548</v>
      </c>
      <c r="C246" s="7" t="s">
        <v>549</v>
      </c>
      <c r="D246" s="5">
        <v>700</v>
      </c>
      <c r="E246" s="5">
        <v>3988</v>
      </c>
      <c r="F246" s="5" t="s">
        <v>28</v>
      </c>
      <c r="G246" s="5">
        <v>53</v>
      </c>
      <c r="H246" s="5" t="s">
        <v>29</v>
      </c>
      <c r="I246" s="5" t="s">
        <v>30</v>
      </c>
      <c r="J246" s="5">
        <v>1405314000</v>
      </c>
      <c r="K246" s="5">
        <v>1409806800</v>
      </c>
      <c r="L246" s="5" t="b">
        <v>0</v>
      </c>
      <c r="M246" s="5" t="b">
        <v>0</v>
      </c>
      <c r="N246" s="5" t="s">
        <v>41</v>
      </c>
      <c r="O246" s="8">
        <f t="shared" si="0"/>
        <v>5.6971428571428575</v>
      </c>
      <c r="P246" s="9">
        <f t="shared" si="2"/>
        <v>75.245283018867923</v>
      </c>
      <c r="Q246" s="5" t="str" cm="1">
        <f t="array" ref="Q246:R246">_xlfn.TEXTSPLIT(N246,"/")</f>
        <v>theater</v>
      </c>
      <c r="R246" t="str">
        <v>plays</v>
      </c>
      <c r="S246" s="10">
        <f t="shared" ref="S246:T246" si="246">(((J246/60)/60)/24)+DATE(1970,1,1)</f>
        <v>41834.208333333336</v>
      </c>
      <c r="T246" s="10">
        <f t="shared" si="246"/>
        <v>41886.208333333336</v>
      </c>
    </row>
    <row r="247" spans="1:20" ht="15.75" customHeight="1" x14ac:dyDescent="0.25">
      <c r="A247" s="5">
        <v>245</v>
      </c>
      <c r="B247" s="6" t="s">
        <v>550</v>
      </c>
      <c r="C247" s="7" t="s">
        <v>551</v>
      </c>
      <c r="D247" s="5">
        <v>2900</v>
      </c>
      <c r="E247" s="5">
        <v>14771</v>
      </c>
      <c r="F247" s="5" t="s">
        <v>28</v>
      </c>
      <c r="G247" s="5">
        <v>214</v>
      </c>
      <c r="H247" s="5" t="s">
        <v>29</v>
      </c>
      <c r="I247" s="5" t="s">
        <v>30</v>
      </c>
      <c r="J247" s="5">
        <v>1396846800</v>
      </c>
      <c r="K247" s="5">
        <v>1396933200</v>
      </c>
      <c r="L247" s="5" t="b">
        <v>0</v>
      </c>
      <c r="M247" s="5" t="b">
        <v>0</v>
      </c>
      <c r="N247" s="5" t="s">
        <v>41</v>
      </c>
      <c r="O247" s="8">
        <f t="shared" si="0"/>
        <v>5.0934482758620687</v>
      </c>
      <c r="P247" s="9">
        <f t="shared" si="2"/>
        <v>69.023364485981304</v>
      </c>
      <c r="Q247" s="5" t="str" cm="1">
        <f t="array" ref="Q247:R247">_xlfn.TEXTSPLIT(N247,"/")</f>
        <v>theater</v>
      </c>
      <c r="R247" t="str">
        <v>plays</v>
      </c>
      <c r="S247" s="10">
        <f t="shared" ref="S247:T247" si="247">(((J247/60)/60)/24)+DATE(1970,1,1)</f>
        <v>41736.208333333336</v>
      </c>
      <c r="T247" s="10">
        <f t="shared" si="247"/>
        <v>41737.208333333336</v>
      </c>
    </row>
    <row r="248" spans="1:20" ht="15.75" customHeight="1" x14ac:dyDescent="0.25">
      <c r="A248" s="5">
        <v>246</v>
      </c>
      <c r="B248" s="6" t="s">
        <v>552</v>
      </c>
      <c r="C248" s="7" t="s">
        <v>553</v>
      </c>
      <c r="D248" s="5">
        <v>4500</v>
      </c>
      <c r="E248" s="5">
        <v>14649</v>
      </c>
      <c r="F248" s="5" t="s">
        <v>28</v>
      </c>
      <c r="G248" s="5">
        <v>222</v>
      </c>
      <c r="H248" s="5" t="s">
        <v>29</v>
      </c>
      <c r="I248" s="5" t="s">
        <v>30</v>
      </c>
      <c r="J248" s="5">
        <v>1375678800</v>
      </c>
      <c r="K248" s="5">
        <v>1376024400</v>
      </c>
      <c r="L248" s="5" t="b">
        <v>0</v>
      </c>
      <c r="M248" s="5" t="b">
        <v>0</v>
      </c>
      <c r="N248" s="5" t="s">
        <v>36</v>
      </c>
      <c r="O248" s="8">
        <f t="shared" si="0"/>
        <v>3.2553333333333332</v>
      </c>
      <c r="P248" s="9">
        <f t="shared" si="2"/>
        <v>65.986486486486484</v>
      </c>
      <c r="Q248" s="5" t="str" cm="1">
        <f t="array" ref="Q248:R248">_xlfn.TEXTSPLIT(N248,"/")</f>
        <v>technology</v>
      </c>
      <c r="R248" t="str">
        <v>web</v>
      </c>
      <c r="S248" s="10">
        <f t="shared" ref="S248:T248" si="248">(((J248/60)/60)/24)+DATE(1970,1,1)</f>
        <v>41491.208333333336</v>
      </c>
      <c r="T248" s="10">
        <f t="shared" si="248"/>
        <v>41495.208333333336</v>
      </c>
    </row>
    <row r="249" spans="1:20" ht="15.75" customHeight="1" x14ac:dyDescent="0.25">
      <c r="A249" s="5">
        <v>247</v>
      </c>
      <c r="B249" s="6" t="s">
        <v>554</v>
      </c>
      <c r="C249" s="7" t="s">
        <v>555</v>
      </c>
      <c r="D249" s="5">
        <v>19800</v>
      </c>
      <c r="E249" s="5">
        <v>184658</v>
      </c>
      <c r="F249" s="5" t="s">
        <v>28</v>
      </c>
      <c r="G249" s="5">
        <v>1884</v>
      </c>
      <c r="H249" s="5" t="s">
        <v>29</v>
      </c>
      <c r="I249" s="5" t="s">
        <v>30</v>
      </c>
      <c r="J249" s="5">
        <v>1482386400</v>
      </c>
      <c r="K249" s="5">
        <v>1483682400</v>
      </c>
      <c r="L249" s="5" t="b">
        <v>0</v>
      </c>
      <c r="M249" s="5" t="b">
        <v>1</v>
      </c>
      <c r="N249" s="5" t="s">
        <v>127</v>
      </c>
      <c r="O249" s="8">
        <f t="shared" si="0"/>
        <v>9.3261616161616168</v>
      </c>
      <c r="P249" s="9">
        <f t="shared" si="2"/>
        <v>98.013800424628457</v>
      </c>
      <c r="Q249" s="5" t="str" cm="1">
        <f t="array" ref="Q249:R249">_xlfn.TEXTSPLIT(N249,"/")</f>
        <v>publishing</v>
      </c>
      <c r="R249" t="str">
        <v>fiction</v>
      </c>
      <c r="S249" s="10">
        <f t="shared" ref="S249:T249" si="249">(((J249/60)/60)/24)+DATE(1970,1,1)</f>
        <v>42726.25</v>
      </c>
      <c r="T249" s="10">
        <f t="shared" si="249"/>
        <v>42741.25</v>
      </c>
    </row>
    <row r="250" spans="1:20" ht="15.75" customHeight="1" x14ac:dyDescent="0.25">
      <c r="A250" s="5">
        <v>248</v>
      </c>
      <c r="B250" s="6" t="s">
        <v>556</v>
      </c>
      <c r="C250" s="7" t="s">
        <v>557</v>
      </c>
      <c r="D250" s="5">
        <v>6200</v>
      </c>
      <c r="E250" s="5">
        <v>13103</v>
      </c>
      <c r="F250" s="5" t="s">
        <v>28</v>
      </c>
      <c r="G250" s="5">
        <v>218</v>
      </c>
      <c r="H250" s="5" t="s">
        <v>34</v>
      </c>
      <c r="I250" s="5" t="s">
        <v>35</v>
      </c>
      <c r="J250" s="5">
        <v>1420005600</v>
      </c>
      <c r="K250" s="5">
        <v>1420437600</v>
      </c>
      <c r="L250" s="5" t="b">
        <v>0</v>
      </c>
      <c r="M250" s="5" t="b">
        <v>0</v>
      </c>
      <c r="N250" s="5" t="s">
        <v>300</v>
      </c>
      <c r="O250" s="8">
        <f t="shared" si="0"/>
        <v>2.1133870967741935</v>
      </c>
      <c r="P250" s="9">
        <f t="shared" si="2"/>
        <v>60.105504587155963</v>
      </c>
      <c r="Q250" s="5" t="str" cm="1">
        <f t="array" ref="Q250:R250">_xlfn.TEXTSPLIT(N250,"/")</f>
        <v>games</v>
      </c>
      <c r="R250" t="str">
        <v>mobile games</v>
      </c>
      <c r="S250" s="10">
        <f t="shared" ref="S250:T250" si="250">(((J250/60)/60)/24)+DATE(1970,1,1)</f>
        <v>42004.25</v>
      </c>
      <c r="T250" s="10">
        <f t="shared" si="250"/>
        <v>42009.25</v>
      </c>
    </row>
    <row r="251" spans="1:20" ht="15.75" customHeight="1" x14ac:dyDescent="0.25">
      <c r="A251" s="5">
        <v>249</v>
      </c>
      <c r="B251" s="6" t="s">
        <v>558</v>
      </c>
      <c r="C251" s="7" t="s">
        <v>559</v>
      </c>
      <c r="D251" s="5">
        <v>61500</v>
      </c>
      <c r="E251" s="5">
        <v>168095</v>
      </c>
      <c r="F251" s="5" t="s">
        <v>28</v>
      </c>
      <c r="G251" s="5">
        <v>6465</v>
      </c>
      <c r="H251" s="5" t="s">
        <v>29</v>
      </c>
      <c r="I251" s="5" t="s">
        <v>30</v>
      </c>
      <c r="J251" s="5">
        <v>1420178400</v>
      </c>
      <c r="K251" s="5">
        <v>1420783200</v>
      </c>
      <c r="L251" s="5" t="b">
        <v>0</v>
      </c>
      <c r="M251" s="5" t="b">
        <v>0</v>
      </c>
      <c r="N251" s="5" t="s">
        <v>214</v>
      </c>
      <c r="O251" s="8">
        <f t="shared" si="0"/>
        <v>2.7332520325203253</v>
      </c>
      <c r="P251" s="9">
        <f t="shared" si="2"/>
        <v>26.000773395204948</v>
      </c>
      <c r="Q251" s="5" t="str" cm="1">
        <f t="array" ref="Q251:R251">_xlfn.TEXTSPLIT(N251,"/")</f>
        <v>publishing</v>
      </c>
      <c r="R251" t="str">
        <v>translations</v>
      </c>
      <c r="S251" s="10">
        <f t="shared" ref="S251:T251" si="251">(((J251/60)/60)/24)+DATE(1970,1,1)</f>
        <v>42006.25</v>
      </c>
      <c r="T251" s="10">
        <f t="shared" si="251"/>
        <v>42013.25</v>
      </c>
    </row>
    <row r="252" spans="1:20" ht="15.75" customHeight="1" x14ac:dyDescent="0.25">
      <c r="A252" s="5">
        <v>250</v>
      </c>
      <c r="B252" s="6" t="s">
        <v>560</v>
      </c>
      <c r="C252" s="7" t="s">
        <v>561</v>
      </c>
      <c r="D252" s="5">
        <v>100</v>
      </c>
      <c r="E252" s="5">
        <v>3</v>
      </c>
      <c r="F252" s="5" t="s">
        <v>22</v>
      </c>
      <c r="G252" s="5">
        <v>1</v>
      </c>
      <c r="H252" s="5" t="s">
        <v>29</v>
      </c>
      <c r="I252" s="5" t="s">
        <v>30</v>
      </c>
      <c r="J252" s="5">
        <v>1264399200</v>
      </c>
      <c r="K252" s="5">
        <v>1267423200</v>
      </c>
      <c r="L252" s="5" t="b">
        <v>0</v>
      </c>
      <c r="M252" s="5" t="b">
        <v>0</v>
      </c>
      <c r="N252" s="5" t="s">
        <v>31</v>
      </c>
      <c r="O252" s="8">
        <f t="shared" si="0"/>
        <v>0.03</v>
      </c>
      <c r="P252" s="9">
        <f t="shared" si="2"/>
        <v>3</v>
      </c>
      <c r="Q252" s="5" t="str" cm="1">
        <f t="array" ref="Q252:R252">_xlfn.TEXTSPLIT(N252,"/")</f>
        <v>music</v>
      </c>
      <c r="R252" t="str">
        <v>rock</v>
      </c>
      <c r="S252" s="10">
        <f t="shared" ref="S252:T252" si="252">(((J252/60)/60)/24)+DATE(1970,1,1)</f>
        <v>40203.25</v>
      </c>
      <c r="T252" s="10">
        <f t="shared" si="252"/>
        <v>40238.25</v>
      </c>
    </row>
    <row r="253" spans="1:20" ht="15.75" customHeight="1" x14ac:dyDescent="0.25">
      <c r="A253" s="5">
        <v>251</v>
      </c>
      <c r="B253" s="6" t="s">
        <v>562</v>
      </c>
      <c r="C253" s="7" t="s">
        <v>563</v>
      </c>
      <c r="D253" s="5">
        <v>7100</v>
      </c>
      <c r="E253" s="5">
        <v>3840</v>
      </c>
      <c r="F253" s="5" t="s">
        <v>22</v>
      </c>
      <c r="G253" s="5">
        <v>101</v>
      </c>
      <c r="H253" s="5" t="s">
        <v>29</v>
      </c>
      <c r="I253" s="5" t="s">
        <v>30</v>
      </c>
      <c r="J253" s="5">
        <v>1355032800</v>
      </c>
      <c r="K253" s="5">
        <v>1355205600</v>
      </c>
      <c r="L253" s="5" t="b">
        <v>0</v>
      </c>
      <c r="M253" s="5" t="b">
        <v>0</v>
      </c>
      <c r="N253" s="5" t="s">
        <v>41</v>
      </c>
      <c r="O253" s="8">
        <f t="shared" si="0"/>
        <v>0.54084507042253516</v>
      </c>
      <c r="P253" s="9">
        <f t="shared" si="2"/>
        <v>38.019801980198018</v>
      </c>
      <c r="Q253" s="5" t="str" cm="1">
        <f t="array" ref="Q253:R253">_xlfn.TEXTSPLIT(N253,"/")</f>
        <v>theater</v>
      </c>
      <c r="R253" t="str">
        <v>plays</v>
      </c>
      <c r="S253" s="10">
        <f t="shared" ref="S253:T253" si="253">(((J253/60)/60)/24)+DATE(1970,1,1)</f>
        <v>41252.25</v>
      </c>
      <c r="T253" s="10">
        <f t="shared" si="253"/>
        <v>41254.25</v>
      </c>
    </row>
    <row r="254" spans="1:20" ht="15.75" customHeight="1" x14ac:dyDescent="0.25">
      <c r="A254" s="5">
        <v>252</v>
      </c>
      <c r="B254" s="6" t="s">
        <v>564</v>
      </c>
      <c r="C254" s="7" t="s">
        <v>565</v>
      </c>
      <c r="D254" s="5">
        <v>1000</v>
      </c>
      <c r="E254" s="5">
        <v>6263</v>
      </c>
      <c r="F254" s="5" t="s">
        <v>28</v>
      </c>
      <c r="G254" s="5">
        <v>59</v>
      </c>
      <c r="H254" s="5" t="s">
        <v>29</v>
      </c>
      <c r="I254" s="5" t="s">
        <v>30</v>
      </c>
      <c r="J254" s="5">
        <v>1382677200</v>
      </c>
      <c r="K254" s="5">
        <v>1383109200</v>
      </c>
      <c r="L254" s="5" t="b">
        <v>0</v>
      </c>
      <c r="M254" s="5" t="b">
        <v>0</v>
      </c>
      <c r="N254" s="5" t="s">
        <v>41</v>
      </c>
      <c r="O254" s="8">
        <f t="shared" si="0"/>
        <v>6.2629999999999999</v>
      </c>
      <c r="P254" s="9">
        <f t="shared" si="2"/>
        <v>106.15254237288136</v>
      </c>
      <c r="Q254" s="5" t="str" cm="1">
        <f t="array" ref="Q254:R254">_xlfn.TEXTSPLIT(N254,"/")</f>
        <v>theater</v>
      </c>
      <c r="R254" t="str">
        <v>plays</v>
      </c>
      <c r="S254" s="10">
        <f t="shared" ref="S254:T254" si="254">(((J254/60)/60)/24)+DATE(1970,1,1)</f>
        <v>41572.208333333336</v>
      </c>
      <c r="T254" s="10">
        <f t="shared" si="254"/>
        <v>41577.208333333336</v>
      </c>
    </row>
    <row r="255" spans="1:20" ht="15.75" customHeight="1" x14ac:dyDescent="0.25">
      <c r="A255" s="5">
        <v>253</v>
      </c>
      <c r="B255" s="6" t="s">
        <v>566</v>
      </c>
      <c r="C255" s="7" t="s">
        <v>567</v>
      </c>
      <c r="D255" s="5">
        <v>121500</v>
      </c>
      <c r="E255" s="5">
        <v>108161</v>
      </c>
      <c r="F255" s="5" t="s">
        <v>22</v>
      </c>
      <c r="G255" s="5">
        <v>1335</v>
      </c>
      <c r="H255" s="5" t="s">
        <v>23</v>
      </c>
      <c r="I255" s="5" t="s">
        <v>24</v>
      </c>
      <c r="J255" s="5">
        <v>1302238800</v>
      </c>
      <c r="K255" s="5">
        <v>1303275600</v>
      </c>
      <c r="L255" s="5" t="b">
        <v>0</v>
      </c>
      <c r="M255" s="5" t="b">
        <v>0</v>
      </c>
      <c r="N255" s="5" t="s">
        <v>61</v>
      </c>
      <c r="O255" s="8">
        <f t="shared" si="0"/>
        <v>0.8902139917695473</v>
      </c>
      <c r="P255" s="9">
        <f t="shared" si="2"/>
        <v>81.019475655430711</v>
      </c>
      <c r="Q255" s="5" t="str" cm="1">
        <f t="array" ref="Q255:R255">_xlfn.TEXTSPLIT(N255,"/")</f>
        <v>film &amp; video</v>
      </c>
      <c r="R255" t="str">
        <v>drama</v>
      </c>
      <c r="S255" s="10">
        <f t="shared" ref="S255:T255" si="255">(((J255/60)/60)/24)+DATE(1970,1,1)</f>
        <v>40641.208333333336</v>
      </c>
      <c r="T255" s="10">
        <f t="shared" si="255"/>
        <v>40653.208333333336</v>
      </c>
    </row>
    <row r="256" spans="1:20" ht="15.75" customHeight="1" x14ac:dyDescent="0.25">
      <c r="A256" s="5">
        <v>254</v>
      </c>
      <c r="B256" s="6" t="s">
        <v>568</v>
      </c>
      <c r="C256" s="7" t="s">
        <v>569</v>
      </c>
      <c r="D256" s="5">
        <v>4600</v>
      </c>
      <c r="E256" s="5">
        <v>8505</v>
      </c>
      <c r="F256" s="5" t="s">
        <v>28</v>
      </c>
      <c r="G256" s="5">
        <v>88</v>
      </c>
      <c r="H256" s="5" t="s">
        <v>29</v>
      </c>
      <c r="I256" s="5" t="s">
        <v>30</v>
      </c>
      <c r="J256" s="5">
        <v>1487656800</v>
      </c>
      <c r="K256" s="5">
        <v>1487829600</v>
      </c>
      <c r="L256" s="5" t="b">
        <v>0</v>
      </c>
      <c r="M256" s="5" t="b">
        <v>0</v>
      </c>
      <c r="N256" s="5" t="s">
        <v>76</v>
      </c>
      <c r="O256" s="8">
        <f t="shared" si="0"/>
        <v>1.8489130434782608</v>
      </c>
      <c r="P256" s="9">
        <f t="shared" si="2"/>
        <v>96.647727272727266</v>
      </c>
      <c r="Q256" s="5" t="str" cm="1">
        <f t="array" ref="Q256:R256">_xlfn.TEXTSPLIT(N256,"/")</f>
        <v>publishing</v>
      </c>
      <c r="R256" t="str">
        <v>nonfiction</v>
      </c>
      <c r="S256" s="10">
        <f t="shared" ref="S256:T256" si="256">(((J256/60)/60)/24)+DATE(1970,1,1)</f>
        <v>42787.25</v>
      </c>
      <c r="T256" s="10">
        <f t="shared" si="256"/>
        <v>42789.25</v>
      </c>
    </row>
    <row r="257" spans="1:20" ht="15.75" customHeight="1" x14ac:dyDescent="0.25">
      <c r="A257" s="5">
        <v>255</v>
      </c>
      <c r="B257" s="6" t="s">
        <v>570</v>
      </c>
      <c r="C257" s="7" t="s">
        <v>571</v>
      </c>
      <c r="D257" s="5">
        <v>80500</v>
      </c>
      <c r="E257" s="5">
        <v>96735</v>
      </c>
      <c r="F257" s="5" t="s">
        <v>28</v>
      </c>
      <c r="G257" s="5">
        <v>1697</v>
      </c>
      <c r="H257" s="5" t="s">
        <v>29</v>
      </c>
      <c r="I257" s="5" t="s">
        <v>30</v>
      </c>
      <c r="J257" s="5">
        <v>1297836000</v>
      </c>
      <c r="K257" s="5">
        <v>1298268000</v>
      </c>
      <c r="L257" s="5" t="b">
        <v>0</v>
      </c>
      <c r="M257" s="5" t="b">
        <v>1</v>
      </c>
      <c r="N257" s="5" t="s">
        <v>31</v>
      </c>
      <c r="O257" s="8">
        <f t="shared" ref="O257:O511" si="257">E257/D257</f>
        <v>1.2016770186335404</v>
      </c>
      <c r="P257" s="9">
        <f t="shared" si="2"/>
        <v>57.003535651149086</v>
      </c>
      <c r="Q257" s="5" t="str" cm="1">
        <f t="array" ref="Q257:R257">_xlfn.TEXTSPLIT(N257,"/")</f>
        <v>music</v>
      </c>
      <c r="R257" t="str">
        <v>rock</v>
      </c>
      <c r="S257" s="10">
        <f t="shared" ref="S257:T257" si="258">(((J257/60)/60)/24)+DATE(1970,1,1)</f>
        <v>40590.25</v>
      </c>
      <c r="T257" s="10">
        <f t="shared" si="258"/>
        <v>40595.25</v>
      </c>
    </row>
    <row r="258" spans="1:20" ht="15.75" customHeight="1" x14ac:dyDescent="0.25">
      <c r="A258" s="5">
        <v>256</v>
      </c>
      <c r="B258" s="6" t="s">
        <v>572</v>
      </c>
      <c r="C258" s="7" t="s">
        <v>573</v>
      </c>
      <c r="D258" s="5">
        <v>4100</v>
      </c>
      <c r="E258" s="5">
        <v>959</v>
      </c>
      <c r="F258" s="5" t="s">
        <v>22</v>
      </c>
      <c r="G258" s="5">
        <v>15</v>
      </c>
      <c r="H258" s="5" t="s">
        <v>48</v>
      </c>
      <c r="I258" s="5" t="s">
        <v>49</v>
      </c>
      <c r="J258" s="5">
        <v>1453615200</v>
      </c>
      <c r="K258" s="5">
        <v>1456812000</v>
      </c>
      <c r="L258" s="5" t="b">
        <v>0</v>
      </c>
      <c r="M258" s="5" t="b">
        <v>0</v>
      </c>
      <c r="N258" s="5" t="s">
        <v>31</v>
      </c>
      <c r="O258" s="8">
        <f t="shared" si="257"/>
        <v>0.23390243902439026</v>
      </c>
      <c r="P258" s="9">
        <f t="shared" ref="P258:P501" si="259">E258/G258</f>
        <v>63.93333333333333</v>
      </c>
      <c r="Q258" s="5" t="str" cm="1">
        <f t="array" ref="Q258:R258">_xlfn.TEXTSPLIT(N258,"/")</f>
        <v>music</v>
      </c>
      <c r="R258" t="str">
        <v>rock</v>
      </c>
      <c r="S258" s="10">
        <f t="shared" ref="S258:T258" si="260">(((J258/60)/60)/24)+DATE(1970,1,1)</f>
        <v>42393.25</v>
      </c>
      <c r="T258" s="10">
        <f t="shared" si="260"/>
        <v>42430.25</v>
      </c>
    </row>
    <row r="259" spans="1:20" ht="15.75" customHeight="1" x14ac:dyDescent="0.25">
      <c r="A259" s="5">
        <v>257</v>
      </c>
      <c r="B259" s="6" t="s">
        <v>574</v>
      </c>
      <c r="C259" s="7" t="s">
        <v>575</v>
      </c>
      <c r="D259" s="5">
        <v>5700</v>
      </c>
      <c r="E259" s="5">
        <v>8322</v>
      </c>
      <c r="F259" s="5" t="s">
        <v>28</v>
      </c>
      <c r="G259" s="5">
        <v>92</v>
      </c>
      <c r="H259" s="5" t="s">
        <v>29</v>
      </c>
      <c r="I259" s="5" t="s">
        <v>30</v>
      </c>
      <c r="J259" s="5">
        <v>1362463200</v>
      </c>
      <c r="K259" s="5">
        <v>1363669200</v>
      </c>
      <c r="L259" s="5" t="b">
        <v>0</v>
      </c>
      <c r="M259" s="5" t="b">
        <v>0</v>
      </c>
      <c r="N259" s="5" t="s">
        <v>41</v>
      </c>
      <c r="O259" s="8">
        <f t="shared" si="257"/>
        <v>1.46</v>
      </c>
      <c r="P259" s="9">
        <f t="shared" si="259"/>
        <v>90.456521739130437</v>
      </c>
      <c r="Q259" s="5" t="str" cm="1">
        <f t="array" ref="Q259:R259">_xlfn.TEXTSPLIT(N259,"/")</f>
        <v>theater</v>
      </c>
      <c r="R259" t="str">
        <v>plays</v>
      </c>
      <c r="S259" s="10">
        <f t="shared" ref="S259:T259" si="261">(((J259/60)/60)/24)+DATE(1970,1,1)</f>
        <v>41338.25</v>
      </c>
      <c r="T259" s="10">
        <f t="shared" si="261"/>
        <v>41352.208333333336</v>
      </c>
    </row>
    <row r="260" spans="1:20" ht="15.75" customHeight="1" x14ac:dyDescent="0.25">
      <c r="A260" s="5">
        <v>258</v>
      </c>
      <c r="B260" s="6" t="s">
        <v>576</v>
      </c>
      <c r="C260" s="7" t="s">
        <v>577</v>
      </c>
      <c r="D260" s="5">
        <v>5000</v>
      </c>
      <c r="E260" s="5">
        <v>13424</v>
      </c>
      <c r="F260" s="5" t="s">
        <v>28</v>
      </c>
      <c r="G260" s="5">
        <v>186</v>
      </c>
      <c r="H260" s="5" t="s">
        <v>29</v>
      </c>
      <c r="I260" s="5" t="s">
        <v>30</v>
      </c>
      <c r="J260" s="5">
        <v>1481176800</v>
      </c>
      <c r="K260" s="5">
        <v>1482904800</v>
      </c>
      <c r="L260" s="5" t="b">
        <v>0</v>
      </c>
      <c r="M260" s="5" t="b">
        <v>1</v>
      </c>
      <c r="N260" s="5" t="s">
        <v>41</v>
      </c>
      <c r="O260" s="8">
        <f t="shared" si="257"/>
        <v>2.6848000000000001</v>
      </c>
      <c r="P260" s="9">
        <f t="shared" si="259"/>
        <v>72.172043010752688</v>
      </c>
      <c r="Q260" s="5" t="str" cm="1">
        <f t="array" ref="Q260:R260">_xlfn.TEXTSPLIT(N260,"/")</f>
        <v>theater</v>
      </c>
      <c r="R260" t="str">
        <v>plays</v>
      </c>
      <c r="S260" s="10">
        <f t="shared" ref="S260:T260" si="262">(((J260/60)/60)/24)+DATE(1970,1,1)</f>
        <v>42712.25</v>
      </c>
      <c r="T260" s="10">
        <f t="shared" si="262"/>
        <v>42732.25</v>
      </c>
    </row>
    <row r="261" spans="1:20" ht="15.75" customHeight="1" x14ac:dyDescent="0.25">
      <c r="A261" s="5">
        <v>259</v>
      </c>
      <c r="B261" s="6" t="s">
        <v>578</v>
      </c>
      <c r="C261" s="7" t="s">
        <v>579</v>
      </c>
      <c r="D261" s="5">
        <v>1800</v>
      </c>
      <c r="E261" s="5">
        <v>10755</v>
      </c>
      <c r="F261" s="5" t="s">
        <v>28</v>
      </c>
      <c r="G261" s="5">
        <v>138</v>
      </c>
      <c r="H261" s="5" t="s">
        <v>29</v>
      </c>
      <c r="I261" s="5" t="s">
        <v>30</v>
      </c>
      <c r="J261" s="5">
        <v>1354946400</v>
      </c>
      <c r="K261" s="5">
        <v>1356588000</v>
      </c>
      <c r="L261" s="5" t="b">
        <v>1</v>
      </c>
      <c r="M261" s="5" t="b">
        <v>0</v>
      </c>
      <c r="N261" s="5" t="s">
        <v>130</v>
      </c>
      <c r="O261" s="8">
        <f t="shared" si="257"/>
        <v>5.9749999999999996</v>
      </c>
      <c r="P261" s="9">
        <f t="shared" si="259"/>
        <v>77.934782608695656</v>
      </c>
      <c r="Q261" s="5" t="str" cm="1">
        <f t="array" ref="Q261:R261">_xlfn.TEXTSPLIT(N261,"/")</f>
        <v>photography</v>
      </c>
      <c r="R261" t="str">
        <v>photography books</v>
      </c>
      <c r="S261" s="10">
        <f t="shared" ref="S261:T261" si="263">(((J261/60)/60)/24)+DATE(1970,1,1)</f>
        <v>41251.25</v>
      </c>
      <c r="T261" s="10">
        <f t="shared" si="263"/>
        <v>41270.25</v>
      </c>
    </row>
    <row r="262" spans="1:20" ht="15.75" customHeight="1" x14ac:dyDescent="0.25">
      <c r="A262" s="5">
        <v>260</v>
      </c>
      <c r="B262" s="6" t="s">
        <v>580</v>
      </c>
      <c r="C262" s="7" t="s">
        <v>581</v>
      </c>
      <c r="D262" s="5">
        <v>6300</v>
      </c>
      <c r="E262" s="5">
        <v>9935</v>
      </c>
      <c r="F262" s="5" t="s">
        <v>28</v>
      </c>
      <c r="G262" s="5">
        <v>261</v>
      </c>
      <c r="H262" s="5" t="s">
        <v>29</v>
      </c>
      <c r="I262" s="5" t="s">
        <v>30</v>
      </c>
      <c r="J262" s="5">
        <v>1348808400</v>
      </c>
      <c r="K262" s="5">
        <v>1349845200</v>
      </c>
      <c r="L262" s="5" t="b">
        <v>0</v>
      </c>
      <c r="M262" s="5" t="b">
        <v>0</v>
      </c>
      <c r="N262" s="5" t="s">
        <v>31</v>
      </c>
      <c r="O262" s="8">
        <f t="shared" si="257"/>
        <v>1.5769841269841269</v>
      </c>
      <c r="P262" s="9">
        <f t="shared" si="259"/>
        <v>38.065134099616856</v>
      </c>
      <c r="Q262" s="5" t="str" cm="1">
        <f t="array" ref="Q262:R262">_xlfn.TEXTSPLIT(N262,"/")</f>
        <v>music</v>
      </c>
      <c r="R262" t="str">
        <v>rock</v>
      </c>
      <c r="S262" s="10">
        <f t="shared" ref="S262:T262" si="264">(((J262/60)/60)/24)+DATE(1970,1,1)</f>
        <v>41180.208333333336</v>
      </c>
      <c r="T262" s="10">
        <f t="shared" si="264"/>
        <v>41192.208333333336</v>
      </c>
    </row>
    <row r="263" spans="1:20" ht="15.75" customHeight="1" x14ac:dyDescent="0.25">
      <c r="A263" s="5">
        <v>261</v>
      </c>
      <c r="B263" s="6" t="s">
        <v>582</v>
      </c>
      <c r="C263" s="7" t="s">
        <v>583</v>
      </c>
      <c r="D263" s="5">
        <v>84300</v>
      </c>
      <c r="E263" s="5">
        <v>26303</v>
      </c>
      <c r="F263" s="5" t="s">
        <v>22</v>
      </c>
      <c r="G263" s="5">
        <v>454</v>
      </c>
      <c r="H263" s="5" t="s">
        <v>29</v>
      </c>
      <c r="I263" s="5" t="s">
        <v>30</v>
      </c>
      <c r="J263" s="5">
        <v>1282712400</v>
      </c>
      <c r="K263" s="5">
        <v>1283058000</v>
      </c>
      <c r="L263" s="5" t="b">
        <v>0</v>
      </c>
      <c r="M263" s="5" t="b">
        <v>1</v>
      </c>
      <c r="N263" s="5" t="s">
        <v>31</v>
      </c>
      <c r="O263" s="8">
        <f t="shared" si="257"/>
        <v>0.31201660735468567</v>
      </c>
      <c r="P263" s="9">
        <f t="shared" si="259"/>
        <v>57.936123348017624</v>
      </c>
      <c r="Q263" s="5" t="str" cm="1">
        <f t="array" ref="Q263:R263">_xlfn.TEXTSPLIT(N263,"/")</f>
        <v>music</v>
      </c>
      <c r="R263" t="str">
        <v>rock</v>
      </c>
      <c r="S263" s="10">
        <f t="shared" ref="S263:T263" si="265">(((J263/60)/60)/24)+DATE(1970,1,1)</f>
        <v>40415.208333333336</v>
      </c>
      <c r="T263" s="10">
        <f t="shared" si="265"/>
        <v>40419.208333333336</v>
      </c>
    </row>
    <row r="264" spans="1:20" ht="15.75" customHeight="1" x14ac:dyDescent="0.25">
      <c r="A264" s="5">
        <v>262</v>
      </c>
      <c r="B264" s="6" t="s">
        <v>584</v>
      </c>
      <c r="C264" s="7" t="s">
        <v>585</v>
      </c>
      <c r="D264" s="5">
        <v>1700</v>
      </c>
      <c r="E264" s="5">
        <v>5328</v>
      </c>
      <c r="F264" s="5" t="s">
        <v>28</v>
      </c>
      <c r="G264" s="5">
        <v>107</v>
      </c>
      <c r="H264" s="5" t="s">
        <v>29</v>
      </c>
      <c r="I264" s="5" t="s">
        <v>30</v>
      </c>
      <c r="J264" s="5">
        <v>1301979600</v>
      </c>
      <c r="K264" s="5">
        <v>1304226000</v>
      </c>
      <c r="L264" s="5" t="b">
        <v>0</v>
      </c>
      <c r="M264" s="5" t="b">
        <v>1</v>
      </c>
      <c r="N264" s="5" t="s">
        <v>68</v>
      </c>
      <c r="O264" s="8">
        <f t="shared" si="257"/>
        <v>3.1341176470588237</v>
      </c>
      <c r="P264" s="9">
        <f t="shared" si="259"/>
        <v>49.794392523364486</v>
      </c>
      <c r="Q264" s="5" t="str" cm="1">
        <f t="array" ref="Q264:R264">_xlfn.TEXTSPLIT(N264,"/")</f>
        <v>music</v>
      </c>
      <c r="R264" t="str">
        <v>indie rock</v>
      </c>
      <c r="S264" s="10">
        <f t="shared" ref="S264:T264" si="266">(((J264/60)/60)/24)+DATE(1970,1,1)</f>
        <v>40638.208333333336</v>
      </c>
      <c r="T264" s="10">
        <f t="shared" si="266"/>
        <v>40664.208333333336</v>
      </c>
    </row>
    <row r="265" spans="1:20" ht="15.75" customHeight="1" x14ac:dyDescent="0.25">
      <c r="A265" s="5">
        <v>263</v>
      </c>
      <c r="B265" s="6" t="s">
        <v>586</v>
      </c>
      <c r="C265" s="7" t="s">
        <v>587</v>
      </c>
      <c r="D265" s="5">
        <v>2900</v>
      </c>
      <c r="E265" s="5">
        <v>10756</v>
      </c>
      <c r="F265" s="5" t="s">
        <v>28</v>
      </c>
      <c r="G265" s="5">
        <v>199</v>
      </c>
      <c r="H265" s="5" t="s">
        <v>29</v>
      </c>
      <c r="I265" s="5" t="s">
        <v>30</v>
      </c>
      <c r="J265" s="5">
        <v>1263016800</v>
      </c>
      <c r="K265" s="5">
        <v>1263016800</v>
      </c>
      <c r="L265" s="5" t="b">
        <v>0</v>
      </c>
      <c r="M265" s="5" t="b">
        <v>0</v>
      </c>
      <c r="N265" s="5" t="s">
        <v>130</v>
      </c>
      <c r="O265" s="8">
        <f t="shared" si="257"/>
        <v>3.7089655172413791</v>
      </c>
      <c r="P265" s="9">
        <f t="shared" si="259"/>
        <v>54.050251256281406</v>
      </c>
      <c r="Q265" s="5" t="str" cm="1">
        <f t="array" ref="Q265:R265">_xlfn.TEXTSPLIT(N265,"/")</f>
        <v>photography</v>
      </c>
      <c r="R265" t="str">
        <v>photography books</v>
      </c>
      <c r="S265" s="10">
        <f t="shared" ref="S265:T265" si="267">(((J265/60)/60)/24)+DATE(1970,1,1)</f>
        <v>40187.25</v>
      </c>
      <c r="T265" s="10">
        <f t="shared" si="267"/>
        <v>40187.25</v>
      </c>
    </row>
    <row r="266" spans="1:20" ht="15.75" customHeight="1" x14ac:dyDescent="0.25">
      <c r="A266" s="5">
        <v>264</v>
      </c>
      <c r="B266" s="6" t="s">
        <v>588</v>
      </c>
      <c r="C266" s="7" t="s">
        <v>589</v>
      </c>
      <c r="D266" s="5">
        <v>45600</v>
      </c>
      <c r="E266" s="5">
        <v>165375</v>
      </c>
      <c r="F266" s="5" t="s">
        <v>28</v>
      </c>
      <c r="G266" s="5">
        <v>5512</v>
      </c>
      <c r="H266" s="5" t="s">
        <v>29</v>
      </c>
      <c r="I266" s="5" t="s">
        <v>30</v>
      </c>
      <c r="J266" s="5">
        <v>1360648800</v>
      </c>
      <c r="K266" s="5">
        <v>1362031200</v>
      </c>
      <c r="L266" s="5" t="b">
        <v>0</v>
      </c>
      <c r="M266" s="5" t="b">
        <v>0</v>
      </c>
      <c r="N266" s="5" t="s">
        <v>41</v>
      </c>
      <c r="O266" s="8">
        <f t="shared" si="257"/>
        <v>3.6266447368421053</v>
      </c>
      <c r="P266" s="9">
        <f t="shared" si="259"/>
        <v>30.002721335268504</v>
      </c>
      <c r="Q266" s="5" t="str" cm="1">
        <f t="array" ref="Q266:R266">_xlfn.TEXTSPLIT(N266,"/")</f>
        <v>theater</v>
      </c>
      <c r="R266" t="str">
        <v>plays</v>
      </c>
      <c r="S266" s="10">
        <f t="shared" ref="S266:T266" si="268">(((J266/60)/60)/24)+DATE(1970,1,1)</f>
        <v>41317.25</v>
      </c>
      <c r="T266" s="10">
        <f t="shared" si="268"/>
        <v>41333.25</v>
      </c>
    </row>
    <row r="267" spans="1:20" ht="15.75" customHeight="1" x14ac:dyDescent="0.25">
      <c r="A267" s="5">
        <v>265</v>
      </c>
      <c r="B267" s="6" t="s">
        <v>590</v>
      </c>
      <c r="C267" s="7" t="s">
        <v>591</v>
      </c>
      <c r="D267" s="5">
        <v>4900</v>
      </c>
      <c r="E267" s="5">
        <v>6031</v>
      </c>
      <c r="F267" s="5" t="s">
        <v>28</v>
      </c>
      <c r="G267" s="5">
        <v>86</v>
      </c>
      <c r="H267" s="5" t="s">
        <v>29</v>
      </c>
      <c r="I267" s="5" t="s">
        <v>30</v>
      </c>
      <c r="J267" s="5">
        <v>1451800800</v>
      </c>
      <c r="K267" s="5">
        <v>1455602400</v>
      </c>
      <c r="L267" s="5" t="b">
        <v>0</v>
      </c>
      <c r="M267" s="5" t="b">
        <v>0</v>
      </c>
      <c r="N267" s="5" t="s">
        <v>41</v>
      </c>
      <c r="O267" s="8">
        <f t="shared" si="257"/>
        <v>1.2308163265306122</v>
      </c>
      <c r="P267" s="9">
        <f t="shared" si="259"/>
        <v>70.127906976744185</v>
      </c>
      <c r="Q267" s="5" t="str" cm="1">
        <f t="array" ref="Q267:R267">_xlfn.TEXTSPLIT(N267,"/")</f>
        <v>theater</v>
      </c>
      <c r="R267" t="str">
        <v>plays</v>
      </c>
      <c r="S267" s="10">
        <f t="shared" ref="S267:T267" si="269">(((J267/60)/60)/24)+DATE(1970,1,1)</f>
        <v>42372.25</v>
      </c>
      <c r="T267" s="10">
        <f t="shared" si="269"/>
        <v>42416.25</v>
      </c>
    </row>
    <row r="268" spans="1:20" ht="15.75" customHeight="1" x14ac:dyDescent="0.25">
      <c r="A268" s="5">
        <v>266</v>
      </c>
      <c r="B268" s="6" t="s">
        <v>592</v>
      </c>
      <c r="C268" s="7" t="s">
        <v>593</v>
      </c>
      <c r="D268" s="5">
        <v>111900</v>
      </c>
      <c r="E268" s="5">
        <v>85902</v>
      </c>
      <c r="F268" s="5" t="s">
        <v>22</v>
      </c>
      <c r="G268" s="5">
        <v>3182</v>
      </c>
      <c r="H268" s="5" t="s">
        <v>115</v>
      </c>
      <c r="I268" s="5" t="s">
        <v>116</v>
      </c>
      <c r="J268" s="5">
        <v>1415340000</v>
      </c>
      <c r="K268" s="5">
        <v>1418191200</v>
      </c>
      <c r="L268" s="5" t="b">
        <v>0</v>
      </c>
      <c r="M268" s="5" t="b">
        <v>1</v>
      </c>
      <c r="N268" s="5" t="s">
        <v>167</v>
      </c>
      <c r="O268" s="8">
        <f t="shared" si="257"/>
        <v>0.76766756032171579</v>
      </c>
      <c r="P268" s="9">
        <f t="shared" si="259"/>
        <v>26.996228786926462</v>
      </c>
      <c r="Q268" s="5" t="str" cm="1">
        <f t="array" ref="Q268:R268">_xlfn.TEXTSPLIT(N268,"/")</f>
        <v>music</v>
      </c>
      <c r="R268" t="str">
        <v>jazz</v>
      </c>
      <c r="S268" s="10">
        <f t="shared" ref="S268:T268" si="270">(((J268/60)/60)/24)+DATE(1970,1,1)</f>
        <v>41950.25</v>
      </c>
      <c r="T268" s="10">
        <f t="shared" si="270"/>
        <v>41983.25</v>
      </c>
    </row>
    <row r="269" spans="1:20" ht="15.75" customHeight="1" x14ac:dyDescent="0.25">
      <c r="A269" s="5">
        <v>267</v>
      </c>
      <c r="B269" s="6" t="s">
        <v>594</v>
      </c>
      <c r="C269" s="7" t="s">
        <v>595</v>
      </c>
      <c r="D269" s="5">
        <v>61600</v>
      </c>
      <c r="E269" s="5">
        <v>143910</v>
      </c>
      <c r="F269" s="5" t="s">
        <v>28</v>
      </c>
      <c r="G269" s="5">
        <v>2768</v>
      </c>
      <c r="H269" s="5" t="s">
        <v>34</v>
      </c>
      <c r="I269" s="5" t="s">
        <v>35</v>
      </c>
      <c r="J269" s="5">
        <v>1351054800</v>
      </c>
      <c r="K269" s="5">
        <v>1352440800</v>
      </c>
      <c r="L269" s="5" t="b">
        <v>0</v>
      </c>
      <c r="M269" s="5" t="b">
        <v>0</v>
      </c>
      <c r="N269" s="5" t="s">
        <v>41</v>
      </c>
      <c r="O269" s="8">
        <f t="shared" si="257"/>
        <v>2.3362012987012988</v>
      </c>
      <c r="P269" s="9">
        <f t="shared" si="259"/>
        <v>51.990606936416185</v>
      </c>
      <c r="Q269" s="5" t="str" cm="1">
        <f t="array" ref="Q269:R269">_xlfn.TEXTSPLIT(N269,"/")</f>
        <v>theater</v>
      </c>
      <c r="R269" t="str">
        <v>plays</v>
      </c>
      <c r="S269" s="10">
        <f t="shared" ref="S269:T269" si="271">(((J269/60)/60)/24)+DATE(1970,1,1)</f>
        <v>41206.208333333336</v>
      </c>
      <c r="T269" s="10">
        <f t="shared" si="271"/>
        <v>41222.25</v>
      </c>
    </row>
    <row r="270" spans="1:20" ht="15.75" customHeight="1" x14ac:dyDescent="0.25">
      <c r="A270" s="5">
        <v>268</v>
      </c>
      <c r="B270" s="6" t="s">
        <v>596</v>
      </c>
      <c r="C270" s="7" t="s">
        <v>597</v>
      </c>
      <c r="D270" s="5">
        <v>1500</v>
      </c>
      <c r="E270" s="5">
        <v>2708</v>
      </c>
      <c r="F270" s="5" t="s">
        <v>28</v>
      </c>
      <c r="G270" s="5">
        <v>48</v>
      </c>
      <c r="H270" s="5" t="s">
        <v>29</v>
      </c>
      <c r="I270" s="5" t="s">
        <v>30</v>
      </c>
      <c r="J270" s="5">
        <v>1349326800</v>
      </c>
      <c r="K270" s="5">
        <v>1353304800</v>
      </c>
      <c r="L270" s="5" t="b">
        <v>0</v>
      </c>
      <c r="M270" s="5" t="b">
        <v>0</v>
      </c>
      <c r="N270" s="5" t="s">
        <v>50</v>
      </c>
      <c r="O270" s="8">
        <f t="shared" si="257"/>
        <v>1.8053333333333332</v>
      </c>
      <c r="P270" s="9">
        <f t="shared" si="259"/>
        <v>56.416666666666664</v>
      </c>
      <c r="Q270" s="5" t="str" cm="1">
        <f t="array" ref="Q270:R270">_xlfn.TEXTSPLIT(N270,"/")</f>
        <v>film &amp; video</v>
      </c>
      <c r="R270" t="str">
        <v>documentary</v>
      </c>
      <c r="S270" s="10">
        <f t="shared" ref="S270:T270" si="272">(((J270/60)/60)/24)+DATE(1970,1,1)</f>
        <v>41186.208333333336</v>
      </c>
      <c r="T270" s="10">
        <f t="shared" si="272"/>
        <v>41232.25</v>
      </c>
    </row>
    <row r="271" spans="1:20" ht="15.75" customHeight="1" x14ac:dyDescent="0.25">
      <c r="A271" s="5">
        <v>269</v>
      </c>
      <c r="B271" s="6" t="s">
        <v>598</v>
      </c>
      <c r="C271" s="7" t="s">
        <v>599</v>
      </c>
      <c r="D271" s="5">
        <v>3500</v>
      </c>
      <c r="E271" s="5">
        <v>8842</v>
      </c>
      <c r="F271" s="5" t="s">
        <v>28</v>
      </c>
      <c r="G271" s="5">
        <v>87</v>
      </c>
      <c r="H271" s="5" t="s">
        <v>29</v>
      </c>
      <c r="I271" s="5" t="s">
        <v>30</v>
      </c>
      <c r="J271" s="5">
        <v>1548914400</v>
      </c>
      <c r="K271" s="5">
        <v>1550728800</v>
      </c>
      <c r="L271" s="5" t="b">
        <v>0</v>
      </c>
      <c r="M271" s="5" t="b">
        <v>0</v>
      </c>
      <c r="N271" s="5" t="s">
        <v>277</v>
      </c>
      <c r="O271" s="8">
        <f t="shared" si="257"/>
        <v>2.5262857142857142</v>
      </c>
      <c r="P271" s="9">
        <f t="shared" si="259"/>
        <v>101.63218390804597</v>
      </c>
      <c r="Q271" s="5" t="str" cm="1">
        <f t="array" ref="Q271:R271">_xlfn.TEXTSPLIT(N271,"/")</f>
        <v>film &amp; video</v>
      </c>
      <c r="R271" t="str">
        <v>television</v>
      </c>
      <c r="S271" s="10">
        <f t="shared" ref="S271:T271" si="273">(((J271/60)/60)/24)+DATE(1970,1,1)</f>
        <v>43496.25</v>
      </c>
      <c r="T271" s="10">
        <f t="shared" si="273"/>
        <v>43517.25</v>
      </c>
    </row>
    <row r="272" spans="1:20" ht="15.75" customHeight="1" x14ac:dyDescent="0.25">
      <c r="A272" s="5">
        <v>270</v>
      </c>
      <c r="B272" s="6" t="s">
        <v>600</v>
      </c>
      <c r="C272" s="7" t="s">
        <v>601</v>
      </c>
      <c r="D272" s="5">
        <v>173900</v>
      </c>
      <c r="E272" s="5">
        <v>47260</v>
      </c>
      <c r="F272" s="5" t="s">
        <v>82</v>
      </c>
      <c r="G272" s="5">
        <v>1890</v>
      </c>
      <c r="H272" s="5" t="s">
        <v>29</v>
      </c>
      <c r="I272" s="5" t="s">
        <v>30</v>
      </c>
      <c r="J272" s="5">
        <v>1291269600</v>
      </c>
      <c r="K272" s="5">
        <v>1291442400</v>
      </c>
      <c r="L272" s="5" t="b">
        <v>0</v>
      </c>
      <c r="M272" s="5" t="b">
        <v>0</v>
      </c>
      <c r="N272" s="5" t="s">
        <v>97</v>
      </c>
      <c r="O272" s="8">
        <f t="shared" si="257"/>
        <v>0.27176538240368026</v>
      </c>
      <c r="P272" s="9">
        <f t="shared" si="259"/>
        <v>25.005291005291006</v>
      </c>
      <c r="Q272" s="5" t="str" cm="1">
        <f t="array" ref="Q272:R272">_xlfn.TEXTSPLIT(N272,"/")</f>
        <v>games</v>
      </c>
      <c r="R272" t="str">
        <v>video games</v>
      </c>
      <c r="S272" s="10">
        <f t="shared" ref="S272:T272" si="274">(((J272/60)/60)/24)+DATE(1970,1,1)</f>
        <v>40514.25</v>
      </c>
      <c r="T272" s="10">
        <f t="shared" si="274"/>
        <v>40516.25</v>
      </c>
    </row>
    <row r="273" spans="1:20" ht="15.75" customHeight="1" x14ac:dyDescent="0.25">
      <c r="A273" s="5">
        <v>271</v>
      </c>
      <c r="B273" s="6" t="s">
        <v>602</v>
      </c>
      <c r="C273" s="7" t="s">
        <v>603</v>
      </c>
      <c r="D273" s="5">
        <v>153700</v>
      </c>
      <c r="E273" s="5">
        <v>1953</v>
      </c>
      <c r="F273" s="5" t="s">
        <v>55</v>
      </c>
      <c r="G273" s="5">
        <v>61</v>
      </c>
      <c r="H273" s="5" t="s">
        <v>29</v>
      </c>
      <c r="I273" s="5" t="s">
        <v>30</v>
      </c>
      <c r="J273" s="5">
        <v>1449468000</v>
      </c>
      <c r="K273" s="5">
        <v>1452146400</v>
      </c>
      <c r="L273" s="5" t="b">
        <v>0</v>
      </c>
      <c r="M273" s="5" t="b">
        <v>0</v>
      </c>
      <c r="N273" s="5" t="s">
        <v>130</v>
      </c>
      <c r="O273" s="8">
        <f t="shared" si="257"/>
        <v>1.2706571242680547E-2</v>
      </c>
      <c r="P273" s="9">
        <f t="shared" si="259"/>
        <v>32.016393442622949</v>
      </c>
      <c r="Q273" s="5" t="str" cm="1">
        <f t="array" ref="Q273:R273">_xlfn.TEXTSPLIT(N273,"/")</f>
        <v>photography</v>
      </c>
      <c r="R273" t="str">
        <v>photography books</v>
      </c>
      <c r="S273" s="10">
        <f t="shared" ref="S273:T273" si="275">(((J273/60)/60)/24)+DATE(1970,1,1)</f>
        <v>42345.25</v>
      </c>
      <c r="T273" s="10">
        <f t="shared" si="275"/>
        <v>42376.25</v>
      </c>
    </row>
    <row r="274" spans="1:20" ht="15.75" customHeight="1" x14ac:dyDescent="0.25">
      <c r="A274" s="5">
        <v>272</v>
      </c>
      <c r="B274" s="6" t="s">
        <v>604</v>
      </c>
      <c r="C274" s="7" t="s">
        <v>605</v>
      </c>
      <c r="D274" s="5">
        <v>51100</v>
      </c>
      <c r="E274" s="5">
        <v>155349</v>
      </c>
      <c r="F274" s="5" t="s">
        <v>28</v>
      </c>
      <c r="G274" s="5">
        <v>1894</v>
      </c>
      <c r="H274" s="5" t="s">
        <v>29</v>
      </c>
      <c r="I274" s="5" t="s">
        <v>30</v>
      </c>
      <c r="J274" s="5">
        <v>1562734800</v>
      </c>
      <c r="K274" s="5">
        <v>1564894800</v>
      </c>
      <c r="L274" s="5" t="b">
        <v>0</v>
      </c>
      <c r="M274" s="5" t="b">
        <v>1</v>
      </c>
      <c r="N274" s="5" t="s">
        <v>41</v>
      </c>
      <c r="O274" s="8">
        <f t="shared" si="257"/>
        <v>3.0400978473581213</v>
      </c>
      <c r="P274" s="9">
        <f t="shared" si="259"/>
        <v>82.021647307286173</v>
      </c>
      <c r="Q274" s="5" t="str" cm="1">
        <f t="array" ref="Q274:R274">_xlfn.TEXTSPLIT(N274,"/")</f>
        <v>theater</v>
      </c>
      <c r="R274" t="str">
        <v>plays</v>
      </c>
      <c r="S274" s="10">
        <f t="shared" ref="S274:T274" si="276">(((J274/60)/60)/24)+DATE(1970,1,1)</f>
        <v>43656.208333333328</v>
      </c>
      <c r="T274" s="10">
        <f t="shared" si="276"/>
        <v>43681.208333333328</v>
      </c>
    </row>
    <row r="275" spans="1:20" ht="15.75" customHeight="1" x14ac:dyDescent="0.25">
      <c r="A275" s="5">
        <v>273</v>
      </c>
      <c r="B275" s="6" t="s">
        <v>606</v>
      </c>
      <c r="C275" s="7" t="s">
        <v>607</v>
      </c>
      <c r="D275" s="5">
        <v>7800</v>
      </c>
      <c r="E275" s="5">
        <v>10704</v>
      </c>
      <c r="F275" s="5" t="s">
        <v>28</v>
      </c>
      <c r="G275" s="5">
        <v>282</v>
      </c>
      <c r="H275" s="5" t="s">
        <v>23</v>
      </c>
      <c r="I275" s="5" t="s">
        <v>24</v>
      </c>
      <c r="J275" s="5">
        <v>1505624400</v>
      </c>
      <c r="K275" s="5">
        <v>1505883600</v>
      </c>
      <c r="L275" s="5" t="b">
        <v>0</v>
      </c>
      <c r="M275" s="5" t="b">
        <v>0</v>
      </c>
      <c r="N275" s="5" t="s">
        <v>41</v>
      </c>
      <c r="O275" s="8">
        <f t="shared" si="257"/>
        <v>1.3723076923076922</v>
      </c>
      <c r="P275" s="9">
        <f t="shared" si="259"/>
        <v>37.957446808510639</v>
      </c>
      <c r="Q275" s="5" t="str" cm="1">
        <f t="array" ref="Q275:R275">_xlfn.TEXTSPLIT(N275,"/")</f>
        <v>theater</v>
      </c>
      <c r="R275" t="str">
        <v>plays</v>
      </c>
      <c r="S275" s="10">
        <f t="shared" ref="S275:T275" si="277">(((J275/60)/60)/24)+DATE(1970,1,1)</f>
        <v>42995.208333333328</v>
      </c>
      <c r="T275" s="10">
        <f t="shared" si="277"/>
        <v>42998.208333333328</v>
      </c>
    </row>
    <row r="276" spans="1:20" ht="15.75" customHeight="1" x14ac:dyDescent="0.25">
      <c r="A276" s="5">
        <v>274</v>
      </c>
      <c r="B276" s="6" t="s">
        <v>608</v>
      </c>
      <c r="C276" s="7" t="s">
        <v>609</v>
      </c>
      <c r="D276" s="5">
        <v>2400</v>
      </c>
      <c r="E276" s="5">
        <v>773</v>
      </c>
      <c r="F276" s="5" t="s">
        <v>22</v>
      </c>
      <c r="G276" s="5">
        <v>15</v>
      </c>
      <c r="H276" s="5" t="s">
        <v>29</v>
      </c>
      <c r="I276" s="5" t="s">
        <v>30</v>
      </c>
      <c r="J276" s="5">
        <v>1509948000</v>
      </c>
      <c r="K276" s="5">
        <v>1510380000</v>
      </c>
      <c r="L276" s="5" t="b">
        <v>0</v>
      </c>
      <c r="M276" s="5" t="b">
        <v>0</v>
      </c>
      <c r="N276" s="5" t="s">
        <v>41</v>
      </c>
      <c r="O276" s="8">
        <f t="shared" si="257"/>
        <v>0.32208333333333333</v>
      </c>
      <c r="P276" s="9">
        <f t="shared" si="259"/>
        <v>51.533333333333331</v>
      </c>
      <c r="Q276" s="5" t="str" cm="1">
        <f t="array" ref="Q276:R276">_xlfn.TEXTSPLIT(N276,"/")</f>
        <v>theater</v>
      </c>
      <c r="R276" t="str">
        <v>plays</v>
      </c>
      <c r="S276" s="10">
        <f t="shared" ref="S276:T276" si="278">(((J276/60)/60)/24)+DATE(1970,1,1)</f>
        <v>43045.25</v>
      </c>
      <c r="T276" s="10">
        <f t="shared" si="278"/>
        <v>43050.25</v>
      </c>
    </row>
    <row r="277" spans="1:20" ht="15.75" customHeight="1" x14ac:dyDescent="0.25">
      <c r="A277" s="5">
        <v>275</v>
      </c>
      <c r="B277" s="6" t="s">
        <v>610</v>
      </c>
      <c r="C277" s="7" t="s">
        <v>611</v>
      </c>
      <c r="D277" s="5">
        <v>3900</v>
      </c>
      <c r="E277" s="5">
        <v>9419</v>
      </c>
      <c r="F277" s="5" t="s">
        <v>28</v>
      </c>
      <c r="G277" s="5">
        <v>116</v>
      </c>
      <c r="H277" s="5" t="s">
        <v>29</v>
      </c>
      <c r="I277" s="5" t="s">
        <v>30</v>
      </c>
      <c r="J277" s="5">
        <v>1554526800</v>
      </c>
      <c r="K277" s="5">
        <v>1555218000</v>
      </c>
      <c r="L277" s="5" t="b">
        <v>0</v>
      </c>
      <c r="M277" s="5" t="b">
        <v>0</v>
      </c>
      <c r="N277" s="5" t="s">
        <v>214</v>
      </c>
      <c r="O277" s="8">
        <f t="shared" si="257"/>
        <v>2.4151282051282053</v>
      </c>
      <c r="P277" s="9">
        <f t="shared" si="259"/>
        <v>81.198275862068968</v>
      </c>
      <c r="Q277" s="5" t="str" cm="1">
        <f t="array" ref="Q277:R277">_xlfn.TEXTSPLIT(N277,"/")</f>
        <v>publishing</v>
      </c>
      <c r="R277" t="str">
        <v>translations</v>
      </c>
      <c r="S277" s="10">
        <f t="shared" ref="S277:T277" si="279">(((J277/60)/60)/24)+DATE(1970,1,1)</f>
        <v>43561.208333333328</v>
      </c>
      <c r="T277" s="10">
        <f t="shared" si="279"/>
        <v>43569.208333333328</v>
      </c>
    </row>
    <row r="278" spans="1:20" ht="15.75" customHeight="1" x14ac:dyDescent="0.25">
      <c r="A278" s="5">
        <v>276</v>
      </c>
      <c r="B278" s="6" t="s">
        <v>612</v>
      </c>
      <c r="C278" s="7" t="s">
        <v>613</v>
      </c>
      <c r="D278" s="5">
        <v>5500</v>
      </c>
      <c r="E278" s="5">
        <v>5324</v>
      </c>
      <c r="F278" s="5" t="s">
        <v>22</v>
      </c>
      <c r="G278" s="5">
        <v>133</v>
      </c>
      <c r="H278" s="5" t="s">
        <v>29</v>
      </c>
      <c r="I278" s="5" t="s">
        <v>30</v>
      </c>
      <c r="J278" s="5">
        <v>1334811600</v>
      </c>
      <c r="K278" s="5">
        <v>1335243600</v>
      </c>
      <c r="L278" s="5" t="b">
        <v>0</v>
      </c>
      <c r="M278" s="5" t="b">
        <v>1</v>
      </c>
      <c r="N278" s="5" t="s">
        <v>97</v>
      </c>
      <c r="O278" s="8">
        <f t="shared" si="257"/>
        <v>0.96799999999999997</v>
      </c>
      <c r="P278" s="9">
        <f t="shared" si="259"/>
        <v>40.030075187969928</v>
      </c>
      <c r="Q278" s="5" t="str" cm="1">
        <f t="array" ref="Q278:R278">_xlfn.TEXTSPLIT(N278,"/")</f>
        <v>games</v>
      </c>
      <c r="R278" t="str">
        <v>video games</v>
      </c>
      <c r="S278" s="10">
        <f t="shared" ref="S278:T278" si="280">(((J278/60)/60)/24)+DATE(1970,1,1)</f>
        <v>41018.208333333336</v>
      </c>
      <c r="T278" s="10">
        <f t="shared" si="280"/>
        <v>41023.208333333336</v>
      </c>
    </row>
    <row r="279" spans="1:20" ht="15.75" customHeight="1" x14ac:dyDescent="0.25">
      <c r="A279" s="5">
        <v>277</v>
      </c>
      <c r="B279" s="6" t="s">
        <v>614</v>
      </c>
      <c r="C279" s="7" t="s">
        <v>615</v>
      </c>
      <c r="D279" s="5">
        <v>700</v>
      </c>
      <c r="E279" s="5">
        <v>7465</v>
      </c>
      <c r="F279" s="5" t="s">
        <v>28</v>
      </c>
      <c r="G279" s="5">
        <v>83</v>
      </c>
      <c r="H279" s="5" t="s">
        <v>29</v>
      </c>
      <c r="I279" s="5" t="s">
        <v>30</v>
      </c>
      <c r="J279" s="5">
        <v>1279515600</v>
      </c>
      <c r="K279" s="5">
        <v>1279688400</v>
      </c>
      <c r="L279" s="5" t="b">
        <v>0</v>
      </c>
      <c r="M279" s="5" t="b">
        <v>0</v>
      </c>
      <c r="N279" s="5" t="s">
        <v>41</v>
      </c>
      <c r="O279" s="8">
        <f t="shared" si="257"/>
        <v>10.664285714285715</v>
      </c>
      <c r="P279" s="9">
        <f t="shared" si="259"/>
        <v>89.939759036144579</v>
      </c>
      <c r="Q279" s="5" t="str" cm="1">
        <f t="array" ref="Q279:R279">_xlfn.TEXTSPLIT(N279,"/")</f>
        <v>theater</v>
      </c>
      <c r="R279" t="str">
        <v>plays</v>
      </c>
      <c r="S279" s="10">
        <f t="shared" ref="S279:T279" si="281">(((J279/60)/60)/24)+DATE(1970,1,1)</f>
        <v>40378.208333333336</v>
      </c>
      <c r="T279" s="10">
        <f t="shared" si="281"/>
        <v>40380.208333333336</v>
      </c>
    </row>
    <row r="280" spans="1:20" ht="15.75" customHeight="1" x14ac:dyDescent="0.25">
      <c r="A280" s="5">
        <v>278</v>
      </c>
      <c r="B280" s="6" t="s">
        <v>616</v>
      </c>
      <c r="C280" s="7" t="s">
        <v>617</v>
      </c>
      <c r="D280" s="5">
        <v>2700</v>
      </c>
      <c r="E280" s="5">
        <v>8799</v>
      </c>
      <c r="F280" s="5" t="s">
        <v>28</v>
      </c>
      <c r="G280" s="5">
        <v>91</v>
      </c>
      <c r="H280" s="5" t="s">
        <v>29</v>
      </c>
      <c r="I280" s="5" t="s">
        <v>30</v>
      </c>
      <c r="J280" s="5">
        <v>1353909600</v>
      </c>
      <c r="K280" s="5">
        <v>1356069600</v>
      </c>
      <c r="L280" s="5" t="b">
        <v>0</v>
      </c>
      <c r="M280" s="5" t="b">
        <v>0</v>
      </c>
      <c r="N280" s="5" t="s">
        <v>36</v>
      </c>
      <c r="O280" s="8">
        <f t="shared" si="257"/>
        <v>3.2588888888888889</v>
      </c>
      <c r="P280" s="9">
        <f t="shared" si="259"/>
        <v>96.692307692307693</v>
      </c>
      <c r="Q280" s="5" t="str" cm="1">
        <f t="array" ref="Q280:R280">_xlfn.TEXTSPLIT(N280,"/")</f>
        <v>technology</v>
      </c>
      <c r="R280" t="str">
        <v>web</v>
      </c>
      <c r="S280" s="10">
        <f t="shared" ref="S280:T280" si="282">(((J280/60)/60)/24)+DATE(1970,1,1)</f>
        <v>41239.25</v>
      </c>
      <c r="T280" s="10">
        <f t="shared" si="282"/>
        <v>41264.25</v>
      </c>
    </row>
    <row r="281" spans="1:20" ht="15.75" customHeight="1" x14ac:dyDescent="0.25">
      <c r="A281" s="5">
        <v>279</v>
      </c>
      <c r="B281" s="6" t="s">
        <v>618</v>
      </c>
      <c r="C281" s="7" t="s">
        <v>619</v>
      </c>
      <c r="D281" s="5">
        <v>8000</v>
      </c>
      <c r="E281" s="5">
        <v>13656</v>
      </c>
      <c r="F281" s="5" t="s">
        <v>28</v>
      </c>
      <c r="G281" s="5">
        <v>546</v>
      </c>
      <c r="H281" s="5" t="s">
        <v>29</v>
      </c>
      <c r="I281" s="5" t="s">
        <v>30</v>
      </c>
      <c r="J281" s="5">
        <v>1535950800</v>
      </c>
      <c r="K281" s="5">
        <v>1536210000</v>
      </c>
      <c r="L281" s="5" t="b">
        <v>0</v>
      </c>
      <c r="M281" s="5" t="b">
        <v>0</v>
      </c>
      <c r="N281" s="5" t="s">
        <v>41</v>
      </c>
      <c r="O281" s="8">
        <f t="shared" si="257"/>
        <v>1.7070000000000001</v>
      </c>
      <c r="P281" s="9">
        <f t="shared" si="259"/>
        <v>25.010989010989011</v>
      </c>
      <c r="Q281" s="5" t="str" cm="1">
        <f t="array" ref="Q281:R281">_xlfn.TEXTSPLIT(N281,"/")</f>
        <v>theater</v>
      </c>
      <c r="R281" t="str">
        <v>plays</v>
      </c>
      <c r="S281" s="10">
        <f t="shared" ref="S281:T281" si="283">(((J281/60)/60)/24)+DATE(1970,1,1)</f>
        <v>43346.208333333328</v>
      </c>
      <c r="T281" s="10">
        <f t="shared" si="283"/>
        <v>43349.208333333328</v>
      </c>
    </row>
    <row r="282" spans="1:20" ht="15.75" customHeight="1" x14ac:dyDescent="0.25">
      <c r="A282" s="5">
        <v>280</v>
      </c>
      <c r="B282" s="6" t="s">
        <v>620</v>
      </c>
      <c r="C282" s="7" t="s">
        <v>621</v>
      </c>
      <c r="D282" s="5">
        <v>2500</v>
      </c>
      <c r="E282" s="5">
        <v>14536</v>
      </c>
      <c r="F282" s="5" t="s">
        <v>28</v>
      </c>
      <c r="G282" s="5">
        <v>393</v>
      </c>
      <c r="H282" s="5" t="s">
        <v>29</v>
      </c>
      <c r="I282" s="5" t="s">
        <v>30</v>
      </c>
      <c r="J282" s="5">
        <v>1511244000</v>
      </c>
      <c r="K282" s="5">
        <v>1511762400</v>
      </c>
      <c r="L282" s="5" t="b">
        <v>0</v>
      </c>
      <c r="M282" s="5" t="b">
        <v>0</v>
      </c>
      <c r="N282" s="5" t="s">
        <v>79</v>
      </c>
      <c r="O282" s="8">
        <f t="shared" si="257"/>
        <v>5.8144</v>
      </c>
      <c r="P282" s="9">
        <f t="shared" si="259"/>
        <v>36.987277353689571</v>
      </c>
      <c r="Q282" s="5" t="str" cm="1">
        <f t="array" ref="Q282:R282">_xlfn.TEXTSPLIT(N282,"/")</f>
        <v>film &amp; video</v>
      </c>
      <c r="R282" t="str">
        <v>animation</v>
      </c>
      <c r="S282" s="10">
        <f t="shared" ref="S282:T282" si="284">(((J282/60)/60)/24)+DATE(1970,1,1)</f>
        <v>43060.25</v>
      </c>
      <c r="T282" s="10">
        <f t="shared" si="284"/>
        <v>43066.25</v>
      </c>
    </row>
    <row r="283" spans="1:20" ht="15.75" customHeight="1" x14ac:dyDescent="0.25">
      <c r="A283" s="5">
        <v>281</v>
      </c>
      <c r="B283" s="6" t="s">
        <v>622</v>
      </c>
      <c r="C283" s="7" t="s">
        <v>623</v>
      </c>
      <c r="D283" s="5">
        <v>164500</v>
      </c>
      <c r="E283" s="5">
        <v>150552</v>
      </c>
      <c r="F283" s="5" t="s">
        <v>22</v>
      </c>
      <c r="G283" s="5">
        <v>2062</v>
      </c>
      <c r="H283" s="5" t="s">
        <v>29</v>
      </c>
      <c r="I283" s="5" t="s">
        <v>30</v>
      </c>
      <c r="J283" s="5">
        <v>1331445600</v>
      </c>
      <c r="K283" s="5">
        <v>1333256400</v>
      </c>
      <c r="L283" s="5" t="b">
        <v>0</v>
      </c>
      <c r="M283" s="5" t="b">
        <v>1</v>
      </c>
      <c r="N283" s="5" t="s">
        <v>41</v>
      </c>
      <c r="O283" s="8">
        <f t="shared" si="257"/>
        <v>0.91520972644376897</v>
      </c>
      <c r="P283" s="9">
        <f t="shared" si="259"/>
        <v>73.012609117361791</v>
      </c>
      <c r="Q283" s="5" t="str" cm="1">
        <f t="array" ref="Q283:R283">_xlfn.TEXTSPLIT(N283,"/")</f>
        <v>theater</v>
      </c>
      <c r="R283" t="str">
        <v>plays</v>
      </c>
      <c r="S283" s="10">
        <f t="shared" ref="S283:T283" si="285">(((J283/60)/60)/24)+DATE(1970,1,1)</f>
        <v>40979.25</v>
      </c>
      <c r="T283" s="10">
        <f t="shared" si="285"/>
        <v>41000.208333333336</v>
      </c>
    </row>
    <row r="284" spans="1:20" ht="15.75" customHeight="1" x14ac:dyDescent="0.25">
      <c r="A284" s="5">
        <v>282</v>
      </c>
      <c r="B284" s="6" t="s">
        <v>624</v>
      </c>
      <c r="C284" s="7" t="s">
        <v>625</v>
      </c>
      <c r="D284" s="5">
        <v>8400</v>
      </c>
      <c r="E284" s="5">
        <v>9076</v>
      </c>
      <c r="F284" s="5" t="s">
        <v>28</v>
      </c>
      <c r="G284" s="5">
        <v>133</v>
      </c>
      <c r="H284" s="5" t="s">
        <v>29</v>
      </c>
      <c r="I284" s="5" t="s">
        <v>30</v>
      </c>
      <c r="J284" s="5">
        <v>1480226400</v>
      </c>
      <c r="K284" s="5">
        <v>1480744800</v>
      </c>
      <c r="L284" s="5" t="b">
        <v>0</v>
      </c>
      <c r="M284" s="5" t="b">
        <v>1</v>
      </c>
      <c r="N284" s="5" t="s">
        <v>277</v>
      </c>
      <c r="O284" s="8">
        <f t="shared" si="257"/>
        <v>1.0804761904761904</v>
      </c>
      <c r="P284" s="9">
        <f t="shared" si="259"/>
        <v>68.240601503759393</v>
      </c>
      <c r="Q284" s="5" t="str" cm="1">
        <f t="array" ref="Q284:R284">_xlfn.TEXTSPLIT(N284,"/")</f>
        <v>film &amp; video</v>
      </c>
      <c r="R284" t="str">
        <v>television</v>
      </c>
      <c r="S284" s="10">
        <f t="shared" ref="S284:T284" si="286">(((J284/60)/60)/24)+DATE(1970,1,1)</f>
        <v>42701.25</v>
      </c>
      <c r="T284" s="10">
        <f t="shared" si="286"/>
        <v>42707.25</v>
      </c>
    </row>
    <row r="285" spans="1:20" ht="15.75" customHeight="1" x14ac:dyDescent="0.25">
      <c r="A285" s="5">
        <v>283</v>
      </c>
      <c r="B285" s="6" t="s">
        <v>626</v>
      </c>
      <c r="C285" s="7" t="s">
        <v>627</v>
      </c>
      <c r="D285" s="5">
        <v>8100</v>
      </c>
      <c r="E285" s="5">
        <v>1517</v>
      </c>
      <c r="F285" s="5" t="s">
        <v>22</v>
      </c>
      <c r="G285" s="5">
        <v>29</v>
      </c>
      <c r="H285" s="5" t="s">
        <v>44</v>
      </c>
      <c r="I285" s="5" t="s">
        <v>45</v>
      </c>
      <c r="J285" s="5">
        <v>1464584400</v>
      </c>
      <c r="K285" s="5">
        <v>1465016400</v>
      </c>
      <c r="L285" s="5" t="b">
        <v>0</v>
      </c>
      <c r="M285" s="5" t="b">
        <v>0</v>
      </c>
      <c r="N285" s="5" t="s">
        <v>31</v>
      </c>
      <c r="O285" s="8">
        <f t="shared" si="257"/>
        <v>0.18728395061728395</v>
      </c>
      <c r="P285" s="9">
        <f t="shared" si="259"/>
        <v>52.310344827586206</v>
      </c>
      <c r="Q285" s="5" t="str" cm="1">
        <f t="array" ref="Q285:R285">_xlfn.TEXTSPLIT(N285,"/")</f>
        <v>music</v>
      </c>
      <c r="R285" t="str">
        <v>rock</v>
      </c>
      <c r="S285" s="10">
        <f t="shared" ref="S285:T285" si="287">(((J285/60)/60)/24)+DATE(1970,1,1)</f>
        <v>42520.208333333328</v>
      </c>
      <c r="T285" s="10">
        <f t="shared" si="287"/>
        <v>42525.208333333328</v>
      </c>
    </row>
    <row r="286" spans="1:20" ht="15.75" customHeight="1" x14ac:dyDescent="0.25">
      <c r="A286" s="5">
        <v>284</v>
      </c>
      <c r="B286" s="6" t="s">
        <v>628</v>
      </c>
      <c r="C286" s="7" t="s">
        <v>629</v>
      </c>
      <c r="D286" s="5">
        <v>9800</v>
      </c>
      <c r="E286" s="5">
        <v>8153</v>
      </c>
      <c r="F286" s="5" t="s">
        <v>22</v>
      </c>
      <c r="G286" s="5">
        <v>132</v>
      </c>
      <c r="H286" s="5" t="s">
        <v>29</v>
      </c>
      <c r="I286" s="5" t="s">
        <v>30</v>
      </c>
      <c r="J286" s="5">
        <v>1335848400</v>
      </c>
      <c r="K286" s="5">
        <v>1336280400</v>
      </c>
      <c r="L286" s="5" t="b">
        <v>0</v>
      </c>
      <c r="M286" s="5" t="b">
        <v>0</v>
      </c>
      <c r="N286" s="5" t="s">
        <v>36</v>
      </c>
      <c r="O286" s="8">
        <f t="shared" si="257"/>
        <v>0.83193877551020412</v>
      </c>
      <c r="P286" s="9">
        <f t="shared" si="259"/>
        <v>61.765151515151516</v>
      </c>
      <c r="Q286" s="5" t="str" cm="1">
        <f t="array" ref="Q286:R286">_xlfn.TEXTSPLIT(N286,"/")</f>
        <v>technology</v>
      </c>
      <c r="R286" t="str">
        <v>web</v>
      </c>
      <c r="S286" s="10">
        <f t="shared" ref="S286:T286" si="288">(((J286/60)/60)/24)+DATE(1970,1,1)</f>
        <v>41030.208333333336</v>
      </c>
      <c r="T286" s="10">
        <f t="shared" si="288"/>
        <v>41035.208333333336</v>
      </c>
    </row>
    <row r="287" spans="1:20" ht="15.75" customHeight="1" x14ac:dyDescent="0.25">
      <c r="A287" s="5">
        <v>285</v>
      </c>
      <c r="B287" s="6" t="s">
        <v>630</v>
      </c>
      <c r="C287" s="7" t="s">
        <v>631</v>
      </c>
      <c r="D287" s="5">
        <v>900</v>
      </c>
      <c r="E287" s="5">
        <v>6357</v>
      </c>
      <c r="F287" s="5" t="s">
        <v>28</v>
      </c>
      <c r="G287" s="5">
        <v>254</v>
      </c>
      <c r="H287" s="5" t="s">
        <v>29</v>
      </c>
      <c r="I287" s="5" t="s">
        <v>30</v>
      </c>
      <c r="J287" s="5">
        <v>1473483600</v>
      </c>
      <c r="K287" s="5">
        <v>1476766800</v>
      </c>
      <c r="L287" s="5" t="b">
        <v>0</v>
      </c>
      <c r="M287" s="5" t="b">
        <v>0</v>
      </c>
      <c r="N287" s="5" t="s">
        <v>41</v>
      </c>
      <c r="O287" s="8">
        <f t="shared" si="257"/>
        <v>7.0633333333333335</v>
      </c>
      <c r="P287" s="9">
        <f t="shared" si="259"/>
        <v>25.027559055118111</v>
      </c>
      <c r="Q287" s="5" t="str" cm="1">
        <f t="array" ref="Q287:R287">_xlfn.TEXTSPLIT(N287,"/")</f>
        <v>theater</v>
      </c>
      <c r="R287" t="str">
        <v>plays</v>
      </c>
      <c r="S287" s="10">
        <f t="shared" ref="S287:T287" si="289">(((J287/60)/60)/24)+DATE(1970,1,1)</f>
        <v>42623.208333333328</v>
      </c>
      <c r="T287" s="10">
        <f t="shared" si="289"/>
        <v>42661.208333333328</v>
      </c>
    </row>
    <row r="288" spans="1:20" ht="15.75" customHeight="1" x14ac:dyDescent="0.25">
      <c r="A288" s="5">
        <v>286</v>
      </c>
      <c r="B288" s="6" t="s">
        <v>632</v>
      </c>
      <c r="C288" s="7" t="s">
        <v>633</v>
      </c>
      <c r="D288" s="5">
        <v>112100</v>
      </c>
      <c r="E288" s="5">
        <v>19557</v>
      </c>
      <c r="F288" s="5" t="s">
        <v>82</v>
      </c>
      <c r="G288" s="5">
        <v>184</v>
      </c>
      <c r="H288" s="5" t="s">
        <v>29</v>
      </c>
      <c r="I288" s="5" t="s">
        <v>30</v>
      </c>
      <c r="J288" s="5">
        <v>1479880800</v>
      </c>
      <c r="K288" s="5">
        <v>1480485600</v>
      </c>
      <c r="L288" s="5" t="b">
        <v>0</v>
      </c>
      <c r="M288" s="5" t="b">
        <v>0</v>
      </c>
      <c r="N288" s="5" t="s">
        <v>41</v>
      </c>
      <c r="O288" s="8">
        <f t="shared" si="257"/>
        <v>0.17446030330062445</v>
      </c>
      <c r="P288" s="9">
        <f t="shared" si="259"/>
        <v>106.28804347826087</v>
      </c>
      <c r="Q288" s="5" t="str" cm="1">
        <f t="array" ref="Q288:R288">_xlfn.TEXTSPLIT(N288,"/")</f>
        <v>theater</v>
      </c>
      <c r="R288" t="str">
        <v>plays</v>
      </c>
      <c r="S288" s="10">
        <f t="shared" ref="S288:T288" si="290">(((J288/60)/60)/24)+DATE(1970,1,1)</f>
        <v>42697.25</v>
      </c>
      <c r="T288" s="10">
        <f t="shared" si="290"/>
        <v>42704.25</v>
      </c>
    </row>
    <row r="289" spans="1:20" ht="15.75" customHeight="1" x14ac:dyDescent="0.25">
      <c r="A289" s="5">
        <v>287</v>
      </c>
      <c r="B289" s="6" t="s">
        <v>634</v>
      </c>
      <c r="C289" s="7" t="s">
        <v>635</v>
      </c>
      <c r="D289" s="5">
        <v>6300</v>
      </c>
      <c r="E289" s="5">
        <v>13213</v>
      </c>
      <c r="F289" s="5" t="s">
        <v>28</v>
      </c>
      <c r="G289" s="5">
        <v>176</v>
      </c>
      <c r="H289" s="5" t="s">
        <v>29</v>
      </c>
      <c r="I289" s="5" t="s">
        <v>30</v>
      </c>
      <c r="J289" s="5">
        <v>1430197200</v>
      </c>
      <c r="K289" s="5">
        <v>1430197200</v>
      </c>
      <c r="L289" s="5" t="b">
        <v>0</v>
      </c>
      <c r="M289" s="5" t="b">
        <v>0</v>
      </c>
      <c r="N289" s="5" t="s">
        <v>58</v>
      </c>
      <c r="O289" s="8">
        <f t="shared" si="257"/>
        <v>2.0973015873015872</v>
      </c>
      <c r="P289" s="9">
        <f t="shared" si="259"/>
        <v>75.07386363636364</v>
      </c>
      <c r="Q289" s="5" t="str" cm="1">
        <f t="array" ref="Q289:R289">_xlfn.TEXTSPLIT(N289,"/")</f>
        <v>music</v>
      </c>
      <c r="R289" t="str">
        <v>electric music</v>
      </c>
      <c r="S289" s="10">
        <f t="shared" ref="S289:T289" si="291">(((J289/60)/60)/24)+DATE(1970,1,1)</f>
        <v>42122.208333333328</v>
      </c>
      <c r="T289" s="10">
        <f t="shared" si="291"/>
        <v>42122.208333333328</v>
      </c>
    </row>
    <row r="290" spans="1:20" ht="15.75" customHeight="1" x14ac:dyDescent="0.25">
      <c r="A290" s="5">
        <v>288</v>
      </c>
      <c r="B290" s="6" t="s">
        <v>636</v>
      </c>
      <c r="C290" s="7" t="s">
        <v>637</v>
      </c>
      <c r="D290" s="5">
        <v>5600</v>
      </c>
      <c r="E290" s="5">
        <v>5476</v>
      </c>
      <c r="F290" s="5" t="s">
        <v>22</v>
      </c>
      <c r="G290" s="5">
        <v>137</v>
      </c>
      <c r="H290" s="5" t="s">
        <v>44</v>
      </c>
      <c r="I290" s="5" t="s">
        <v>45</v>
      </c>
      <c r="J290" s="5">
        <v>1331701200</v>
      </c>
      <c r="K290" s="5">
        <v>1331787600</v>
      </c>
      <c r="L290" s="5" t="b">
        <v>0</v>
      </c>
      <c r="M290" s="5" t="b">
        <v>1</v>
      </c>
      <c r="N290" s="5" t="s">
        <v>156</v>
      </c>
      <c r="O290" s="8">
        <f t="shared" si="257"/>
        <v>0.97785714285714287</v>
      </c>
      <c r="P290" s="9">
        <f t="shared" si="259"/>
        <v>39.970802919708028</v>
      </c>
      <c r="Q290" s="5" t="str" cm="1">
        <f t="array" ref="Q290:R290">_xlfn.TEXTSPLIT(N290,"/")</f>
        <v>music</v>
      </c>
      <c r="R290" t="str">
        <v>metal</v>
      </c>
      <c r="S290" s="10">
        <f t="shared" ref="S290:T290" si="292">(((J290/60)/60)/24)+DATE(1970,1,1)</f>
        <v>40982.208333333336</v>
      </c>
      <c r="T290" s="10">
        <f t="shared" si="292"/>
        <v>40983.208333333336</v>
      </c>
    </row>
    <row r="291" spans="1:20" ht="15.75" customHeight="1" x14ac:dyDescent="0.25">
      <c r="A291" s="5">
        <v>289</v>
      </c>
      <c r="B291" s="6" t="s">
        <v>638</v>
      </c>
      <c r="C291" s="7" t="s">
        <v>639</v>
      </c>
      <c r="D291" s="5">
        <v>800</v>
      </c>
      <c r="E291" s="5">
        <v>13474</v>
      </c>
      <c r="F291" s="5" t="s">
        <v>28</v>
      </c>
      <c r="G291" s="5">
        <v>337</v>
      </c>
      <c r="H291" s="5" t="s">
        <v>23</v>
      </c>
      <c r="I291" s="5" t="s">
        <v>24</v>
      </c>
      <c r="J291" s="5">
        <v>1438578000</v>
      </c>
      <c r="K291" s="5">
        <v>1438837200</v>
      </c>
      <c r="L291" s="5" t="b">
        <v>0</v>
      </c>
      <c r="M291" s="5" t="b">
        <v>0</v>
      </c>
      <c r="N291" s="5" t="s">
        <v>41</v>
      </c>
      <c r="O291" s="8">
        <f t="shared" si="257"/>
        <v>16.842500000000001</v>
      </c>
      <c r="P291" s="9">
        <f t="shared" si="259"/>
        <v>39.982195845697326</v>
      </c>
      <c r="Q291" s="5" t="str" cm="1">
        <f t="array" ref="Q291:R291">_xlfn.TEXTSPLIT(N291,"/")</f>
        <v>theater</v>
      </c>
      <c r="R291" t="str">
        <v>plays</v>
      </c>
      <c r="S291" s="10">
        <f t="shared" ref="S291:T291" si="293">(((J291/60)/60)/24)+DATE(1970,1,1)</f>
        <v>42219.208333333328</v>
      </c>
      <c r="T291" s="10">
        <f t="shared" si="293"/>
        <v>42222.208333333328</v>
      </c>
    </row>
    <row r="292" spans="1:20" ht="15.75" customHeight="1" x14ac:dyDescent="0.25">
      <c r="A292" s="5">
        <v>290</v>
      </c>
      <c r="B292" s="6" t="s">
        <v>640</v>
      </c>
      <c r="C292" s="7" t="s">
        <v>641</v>
      </c>
      <c r="D292" s="5">
        <v>168600</v>
      </c>
      <c r="E292" s="5">
        <v>91722</v>
      </c>
      <c r="F292" s="5" t="s">
        <v>22</v>
      </c>
      <c r="G292" s="5">
        <v>908</v>
      </c>
      <c r="H292" s="5" t="s">
        <v>29</v>
      </c>
      <c r="I292" s="5" t="s">
        <v>30</v>
      </c>
      <c r="J292" s="5">
        <v>1368162000</v>
      </c>
      <c r="K292" s="5">
        <v>1370926800</v>
      </c>
      <c r="L292" s="5" t="b">
        <v>0</v>
      </c>
      <c r="M292" s="5" t="b">
        <v>1</v>
      </c>
      <c r="N292" s="5" t="s">
        <v>50</v>
      </c>
      <c r="O292" s="8">
        <f t="shared" si="257"/>
        <v>0.54402135231316728</v>
      </c>
      <c r="P292" s="9">
        <f t="shared" si="259"/>
        <v>101.01541850220265</v>
      </c>
      <c r="Q292" s="5" t="str" cm="1">
        <f t="array" ref="Q292:R292">_xlfn.TEXTSPLIT(N292,"/")</f>
        <v>film &amp; video</v>
      </c>
      <c r="R292" t="str">
        <v>documentary</v>
      </c>
      <c r="S292" s="10">
        <f t="shared" ref="S292:T292" si="294">(((J292/60)/60)/24)+DATE(1970,1,1)</f>
        <v>41404.208333333336</v>
      </c>
      <c r="T292" s="10">
        <f t="shared" si="294"/>
        <v>41436.208333333336</v>
      </c>
    </row>
    <row r="293" spans="1:20" ht="15.75" customHeight="1" x14ac:dyDescent="0.25">
      <c r="A293" s="5">
        <v>291</v>
      </c>
      <c r="B293" s="6" t="s">
        <v>642</v>
      </c>
      <c r="C293" s="7" t="s">
        <v>643</v>
      </c>
      <c r="D293" s="5">
        <v>1800</v>
      </c>
      <c r="E293" s="5">
        <v>8219</v>
      </c>
      <c r="F293" s="5" t="s">
        <v>28</v>
      </c>
      <c r="G293" s="5">
        <v>107</v>
      </c>
      <c r="H293" s="5" t="s">
        <v>29</v>
      </c>
      <c r="I293" s="5" t="s">
        <v>30</v>
      </c>
      <c r="J293" s="5">
        <v>1318654800</v>
      </c>
      <c r="K293" s="5">
        <v>1319000400</v>
      </c>
      <c r="L293" s="5" t="b">
        <v>1</v>
      </c>
      <c r="M293" s="5" t="b">
        <v>0</v>
      </c>
      <c r="N293" s="5" t="s">
        <v>36</v>
      </c>
      <c r="O293" s="8">
        <f t="shared" si="257"/>
        <v>4.5661111111111108</v>
      </c>
      <c r="P293" s="9">
        <f t="shared" si="259"/>
        <v>76.813084112149539</v>
      </c>
      <c r="Q293" s="5" t="str" cm="1">
        <f t="array" ref="Q293:R293">_xlfn.TEXTSPLIT(N293,"/")</f>
        <v>technology</v>
      </c>
      <c r="R293" t="str">
        <v>web</v>
      </c>
      <c r="S293" s="10">
        <f t="shared" ref="S293:T293" si="295">(((J293/60)/60)/24)+DATE(1970,1,1)</f>
        <v>40831.208333333336</v>
      </c>
      <c r="T293" s="10">
        <f t="shared" si="295"/>
        <v>40835.208333333336</v>
      </c>
    </row>
    <row r="294" spans="1:20" ht="15.75" customHeight="1" x14ac:dyDescent="0.25">
      <c r="A294" s="5">
        <v>292</v>
      </c>
      <c r="B294" s="6" t="s">
        <v>644</v>
      </c>
      <c r="C294" s="7" t="s">
        <v>645</v>
      </c>
      <c r="D294" s="5">
        <v>7300</v>
      </c>
      <c r="E294" s="5">
        <v>717</v>
      </c>
      <c r="F294" s="5" t="s">
        <v>22</v>
      </c>
      <c r="G294" s="5">
        <v>10</v>
      </c>
      <c r="H294" s="5" t="s">
        <v>29</v>
      </c>
      <c r="I294" s="5" t="s">
        <v>30</v>
      </c>
      <c r="J294" s="5">
        <v>1331874000</v>
      </c>
      <c r="K294" s="5">
        <v>1333429200</v>
      </c>
      <c r="L294" s="5" t="b">
        <v>0</v>
      </c>
      <c r="M294" s="5" t="b">
        <v>0</v>
      </c>
      <c r="N294" s="5" t="s">
        <v>25</v>
      </c>
      <c r="O294" s="8">
        <f t="shared" si="257"/>
        <v>9.8219178082191785E-2</v>
      </c>
      <c r="P294" s="9">
        <f t="shared" si="259"/>
        <v>71.7</v>
      </c>
      <c r="Q294" s="5" t="str" cm="1">
        <f t="array" ref="Q294:R294">_xlfn.TEXTSPLIT(N294,"/")</f>
        <v>food</v>
      </c>
      <c r="R294" t="str">
        <v>food trucks</v>
      </c>
      <c r="S294" s="10">
        <f t="shared" ref="S294:T294" si="296">(((J294/60)/60)/24)+DATE(1970,1,1)</f>
        <v>40984.208333333336</v>
      </c>
      <c r="T294" s="10">
        <f t="shared" si="296"/>
        <v>41002.208333333336</v>
      </c>
    </row>
    <row r="295" spans="1:20" ht="15.75" customHeight="1" x14ac:dyDescent="0.25">
      <c r="A295" s="5">
        <v>293</v>
      </c>
      <c r="B295" s="6" t="s">
        <v>646</v>
      </c>
      <c r="C295" s="7" t="s">
        <v>647</v>
      </c>
      <c r="D295" s="5">
        <v>6500</v>
      </c>
      <c r="E295" s="5">
        <v>1065</v>
      </c>
      <c r="F295" s="5" t="s">
        <v>82</v>
      </c>
      <c r="G295" s="5">
        <v>32</v>
      </c>
      <c r="H295" s="5" t="s">
        <v>115</v>
      </c>
      <c r="I295" s="5" t="s">
        <v>116</v>
      </c>
      <c r="J295" s="5">
        <v>1286254800</v>
      </c>
      <c r="K295" s="5">
        <v>1287032400</v>
      </c>
      <c r="L295" s="5" t="b">
        <v>0</v>
      </c>
      <c r="M295" s="5" t="b">
        <v>0</v>
      </c>
      <c r="N295" s="5" t="s">
        <v>41</v>
      </c>
      <c r="O295" s="8">
        <f t="shared" si="257"/>
        <v>0.16384615384615384</v>
      </c>
      <c r="P295" s="9">
        <f t="shared" si="259"/>
        <v>33.28125</v>
      </c>
      <c r="Q295" s="5" t="str" cm="1">
        <f t="array" ref="Q295:R295">_xlfn.TEXTSPLIT(N295,"/")</f>
        <v>theater</v>
      </c>
      <c r="R295" t="str">
        <v>plays</v>
      </c>
      <c r="S295" s="10">
        <f t="shared" ref="S295:T295" si="297">(((J295/60)/60)/24)+DATE(1970,1,1)</f>
        <v>40456.208333333336</v>
      </c>
      <c r="T295" s="10">
        <f t="shared" si="297"/>
        <v>40465.208333333336</v>
      </c>
    </row>
    <row r="296" spans="1:20" ht="15.75" customHeight="1" x14ac:dyDescent="0.25">
      <c r="A296" s="5">
        <v>294</v>
      </c>
      <c r="B296" s="6" t="s">
        <v>648</v>
      </c>
      <c r="C296" s="7" t="s">
        <v>649</v>
      </c>
      <c r="D296" s="5">
        <v>600</v>
      </c>
      <c r="E296" s="5">
        <v>8038</v>
      </c>
      <c r="F296" s="5" t="s">
        <v>28</v>
      </c>
      <c r="G296" s="5">
        <v>183</v>
      </c>
      <c r="H296" s="5" t="s">
        <v>29</v>
      </c>
      <c r="I296" s="5" t="s">
        <v>30</v>
      </c>
      <c r="J296" s="5">
        <v>1540530000</v>
      </c>
      <c r="K296" s="5">
        <v>1541570400</v>
      </c>
      <c r="L296" s="5" t="b">
        <v>0</v>
      </c>
      <c r="M296" s="5" t="b">
        <v>0</v>
      </c>
      <c r="N296" s="5" t="s">
        <v>41</v>
      </c>
      <c r="O296" s="8">
        <f t="shared" si="257"/>
        <v>13.396666666666667</v>
      </c>
      <c r="P296" s="9">
        <f t="shared" si="259"/>
        <v>43.923497267759565</v>
      </c>
      <c r="Q296" s="5" t="str" cm="1">
        <f t="array" ref="Q296:R296">_xlfn.TEXTSPLIT(N296,"/")</f>
        <v>theater</v>
      </c>
      <c r="R296" t="str">
        <v>plays</v>
      </c>
      <c r="S296" s="10">
        <f t="shared" ref="S296:T296" si="298">(((J296/60)/60)/24)+DATE(1970,1,1)</f>
        <v>43399.208333333328</v>
      </c>
      <c r="T296" s="10">
        <f t="shared" si="298"/>
        <v>43411.25</v>
      </c>
    </row>
    <row r="297" spans="1:20" ht="15.75" customHeight="1" x14ac:dyDescent="0.25">
      <c r="A297" s="5">
        <v>295</v>
      </c>
      <c r="B297" s="6" t="s">
        <v>650</v>
      </c>
      <c r="C297" s="7" t="s">
        <v>651</v>
      </c>
      <c r="D297" s="5">
        <v>192900</v>
      </c>
      <c r="E297" s="5">
        <v>68769</v>
      </c>
      <c r="F297" s="5" t="s">
        <v>22</v>
      </c>
      <c r="G297" s="5">
        <v>1910</v>
      </c>
      <c r="H297" s="5" t="s">
        <v>106</v>
      </c>
      <c r="I297" s="5" t="s">
        <v>107</v>
      </c>
      <c r="J297" s="5">
        <v>1381813200</v>
      </c>
      <c r="K297" s="5">
        <v>1383976800</v>
      </c>
      <c r="L297" s="5" t="b">
        <v>0</v>
      </c>
      <c r="M297" s="5" t="b">
        <v>0</v>
      </c>
      <c r="N297" s="5" t="s">
        <v>41</v>
      </c>
      <c r="O297" s="8">
        <f t="shared" si="257"/>
        <v>0.35650077760497667</v>
      </c>
      <c r="P297" s="9">
        <f t="shared" si="259"/>
        <v>36.004712041884815</v>
      </c>
      <c r="Q297" s="5" t="str" cm="1">
        <f t="array" ref="Q297:R297">_xlfn.TEXTSPLIT(N297,"/")</f>
        <v>theater</v>
      </c>
      <c r="R297" t="str">
        <v>plays</v>
      </c>
      <c r="S297" s="10">
        <f t="shared" ref="S297:T297" si="299">(((J297/60)/60)/24)+DATE(1970,1,1)</f>
        <v>41562.208333333336</v>
      </c>
      <c r="T297" s="10">
        <f t="shared" si="299"/>
        <v>41587.25</v>
      </c>
    </row>
    <row r="298" spans="1:20" ht="15.75" customHeight="1" x14ac:dyDescent="0.25">
      <c r="A298" s="5">
        <v>296</v>
      </c>
      <c r="B298" s="6" t="s">
        <v>652</v>
      </c>
      <c r="C298" s="7" t="s">
        <v>653</v>
      </c>
      <c r="D298" s="5">
        <v>6100</v>
      </c>
      <c r="E298" s="5">
        <v>3352</v>
      </c>
      <c r="F298" s="5" t="s">
        <v>22</v>
      </c>
      <c r="G298" s="5">
        <v>38</v>
      </c>
      <c r="H298" s="5" t="s">
        <v>34</v>
      </c>
      <c r="I298" s="5" t="s">
        <v>35</v>
      </c>
      <c r="J298" s="5">
        <v>1548655200</v>
      </c>
      <c r="K298" s="5">
        <v>1550556000</v>
      </c>
      <c r="L298" s="5" t="b">
        <v>0</v>
      </c>
      <c r="M298" s="5" t="b">
        <v>0</v>
      </c>
      <c r="N298" s="5" t="s">
        <v>41</v>
      </c>
      <c r="O298" s="8">
        <f t="shared" si="257"/>
        <v>0.54950819672131146</v>
      </c>
      <c r="P298" s="9">
        <f t="shared" si="259"/>
        <v>88.21052631578948</v>
      </c>
      <c r="Q298" s="5" t="str" cm="1">
        <f t="array" ref="Q298:R298">_xlfn.TEXTSPLIT(N298,"/")</f>
        <v>theater</v>
      </c>
      <c r="R298" t="str">
        <v>plays</v>
      </c>
      <c r="S298" s="10">
        <f t="shared" ref="S298:T298" si="300">(((J298/60)/60)/24)+DATE(1970,1,1)</f>
        <v>43493.25</v>
      </c>
      <c r="T298" s="10">
        <f t="shared" si="300"/>
        <v>43515.25</v>
      </c>
    </row>
    <row r="299" spans="1:20" ht="15.75" customHeight="1" x14ac:dyDescent="0.25">
      <c r="A299" s="5">
        <v>297</v>
      </c>
      <c r="B299" s="6" t="s">
        <v>654</v>
      </c>
      <c r="C299" s="7" t="s">
        <v>655</v>
      </c>
      <c r="D299" s="5">
        <v>7200</v>
      </c>
      <c r="E299" s="5">
        <v>6785</v>
      </c>
      <c r="F299" s="5" t="s">
        <v>22</v>
      </c>
      <c r="G299" s="5">
        <v>104</v>
      </c>
      <c r="H299" s="5" t="s">
        <v>34</v>
      </c>
      <c r="I299" s="5" t="s">
        <v>35</v>
      </c>
      <c r="J299" s="5">
        <v>1389679200</v>
      </c>
      <c r="K299" s="5">
        <v>1390456800</v>
      </c>
      <c r="L299" s="5" t="b">
        <v>0</v>
      </c>
      <c r="M299" s="5" t="b">
        <v>1</v>
      </c>
      <c r="N299" s="5" t="s">
        <v>41</v>
      </c>
      <c r="O299" s="8">
        <f t="shared" si="257"/>
        <v>0.94236111111111109</v>
      </c>
      <c r="P299" s="9">
        <f t="shared" si="259"/>
        <v>65.240384615384613</v>
      </c>
      <c r="Q299" s="5" t="str" cm="1">
        <f t="array" ref="Q299:R299">_xlfn.TEXTSPLIT(N299,"/")</f>
        <v>theater</v>
      </c>
      <c r="R299" t="str">
        <v>plays</v>
      </c>
      <c r="S299" s="10">
        <f t="shared" ref="S299:T299" si="301">(((J299/60)/60)/24)+DATE(1970,1,1)</f>
        <v>41653.25</v>
      </c>
      <c r="T299" s="10">
        <f t="shared" si="301"/>
        <v>41662.25</v>
      </c>
    </row>
    <row r="300" spans="1:20" ht="15.75" customHeight="1" x14ac:dyDescent="0.25">
      <c r="A300" s="5">
        <v>298</v>
      </c>
      <c r="B300" s="6" t="s">
        <v>656</v>
      </c>
      <c r="C300" s="7" t="s">
        <v>657</v>
      </c>
      <c r="D300" s="5">
        <v>3500</v>
      </c>
      <c r="E300" s="5">
        <v>5037</v>
      </c>
      <c r="F300" s="5" t="s">
        <v>28</v>
      </c>
      <c r="G300" s="5">
        <v>72</v>
      </c>
      <c r="H300" s="5" t="s">
        <v>29</v>
      </c>
      <c r="I300" s="5" t="s">
        <v>30</v>
      </c>
      <c r="J300" s="5">
        <v>1456466400</v>
      </c>
      <c r="K300" s="5">
        <v>1458018000</v>
      </c>
      <c r="L300" s="5" t="b">
        <v>0</v>
      </c>
      <c r="M300" s="5" t="b">
        <v>1</v>
      </c>
      <c r="N300" s="5" t="s">
        <v>31</v>
      </c>
      <c r="O300" s="8">
        <f t="shared" si="257"/>
        <v>1.4391428571428571</v>
      </c>
      <c r="P300" s="9">
        <f t="shared" si="259"/>
        <v>69.958333333333329</v>
      </c>
      <c r="Q300" s="5" t="str" cm="1">
        <f t="array" ref="Q300:R300">_xlfn.TEXTSPLIT(N300,"/")</f>
        <v>music</v>
      </c>
      <c r="R300" t="str">
        <v>rock</v>
      </c>
      <c r="S300" s="10">
        <f t="shared" ref="S300:T300" si="302">(((J300/60)/60)/24)+DATE(1970,1,1)</f>
        <v>42426.25</v>
      </c>
      <c r="T300" s="10">
        <f t="shared" si="302"/>
        <v>42444.208333333328</v>
      </c>
    </row>
    <row r="301" spans="1:20" ht="15.75" customHeight="1" x14ac:dyDescent="0.25">
      <c r="A301" s="5">
        <v>299</v>
      </c>
      <c r="B301" s="6" t="s">
        <v>658</v>
      </c>
      <c r="C301" s="7" t="s">
        <v>659</v>
      </c>
      <c r="D301" s="5">
        <v>3800</v>
      </c>
      <c r="E301" s="5">
        <v>1954</v>
      </c>
      <c r="F301" s="5" t="s">
        <v>22</v>
      </c>
      <c r="G301" s="5">
        <v>49</v>
      </c>
      <c r="H301" s="5" t="s">
        <v>29</v>
      </c>
      <c r="I301" s="5" t="s">
        <v>30</v>
      </c>
      <c r="J301" s="5">
        <v>1456984800</v>
      </c>
      <c r="K301" s="5">
        <v>1461819600</v>
      </c>
      <c r="L301" s="5" t="b">
        <v>0</v>
      </c>
      <c r="M301" s="5" t="b">
        <v>0</v>
      </c>
      <c r="N301" s="5" t="s">
        <v>25</v>
      </c>
      <c r="O301" s="8">
        <f t="shared" si="257"/>
        <v>0.51421052631578945</v>
      </c>
      <c r="P301" s="9">
        <f t="shared" si="259"/>
        <v>39.877551020408163</v>
      </c>
      <c r="Q301" s="5" t="str" cm="1">
        <f t="array" ref="Q301:R301">_xlfn.TEXTSPLIT(N301,"/")</f>
        <v>food</v>
      </c>
      <c r="R301" t="str">
        <v>food trucks</v>
      </c>
      <c r="S301" s="10">
        <f t="shared" ref="S301:T301" si="303">(((J301/60)/60)/24)+DATE(1970,1,1)</f>
        <v>42432.25</v>
      </c>
      <c r="T301" s="10">
        <f t="shared" si="303"/>
        <v>42488.208333333328</v>
      </c>
    </row>
    <row r="302" spans="1:20" ht="15.75" customHeight="1" x14ac:dyDescent="0.25">
      <c r="A302" s="5">
        <v>300</v>
      </c>
      <c r="B302" s="6" t="s">
        <v>660</v>
      </c>
      <c r="C302" s="7" t="s">
        <v>661</v>
      </c>
      <c r="D302" s="5">
        <v>100</v>
      </c>
      <c r="E302" s="5">
        <v>5</v>
      </c>
      <c r="F302" s="5" t="s">
        <v>22</v>
      </c>
      <c r="G302" s="5">
        <v>1</v>
      </c>
      <c r="H302" s="5" t="s">
        <v>44</v>
      </c>
      <c r="I302" s="5" t="s">
        <v>45</v>
      </c>
      <c r="J302" s="5">
        <v>1504069200</v>
      </c>
      <c r="K302" s="5">
        <v>1504155600</v>
      </c>
      <c r="L302" s="5" t="b">
        <v>0</v>
      </c>
      <c r="M302" s="5" t="b">
        <v>1</v>
      </c>
      <c r="N302" s="5" t="s">
        <v>76</v>
      </c>
      <c r="O302" s="8">
        <f t="shared" si="257"/>
        <v>0.05</v>
      </c>
      <c r="P302" s="9">
        <f t="shared" si="259"/>
        <v>5</v>
      </c>
      <c r="Q302" s="5" t="str" cm="1">
        <f t="array" ref="Q302:R302">_xlfn.TEXTSPLIT(N302,"/")</f>
        <v>publishing</v>
      </c>
      <c r="R302" t="str">
        <v>nonfiction</v>
      </c>
      <c r="S302" s="10">
        <f t="shared" ref="S302:T302" si="304">(((J302/60)/60)/24)+DATE(1970,1,1)</f>
        <v>42977.208333333328</v>
      </c>
      <c r="T302" s="10">
        <f t="shared" si="304"/>
        <v>42978.208333333328</v>
      </c>
    </row>
    <row r="303" spans="1:20" ht="15.75" customHeight="1" x14ac:dyDescent="0.25">
      <c r="A303" s="5">
        <v>301</v>
      </c>
      <c r="B303" s="6" t="s">
        <v>662</v>
      </c>
      <c r="C303" s="7" t="s">
        <v>663</v>
      </c>
      <c r="D303" s="5">
        <v>900</v>
      </c>
      <c r="E303" s="5">
        <v>12102</v>
      </c>
      <c r="F303" s="5" t="s">
        <v>28</v>
      </c>
      <c r="G303" s="5">
        <v>295</v>
      </c>
      <c r="H303" s="5" t="s">
        <v>29</v>
      </c>
      <c r="I303" s="5" t="s">
        <v>30</v>
      </c>
      <c r="J303" s="5">
        <v>1424930400</v>
      </c>
      <c r="K303" s="5">
        <v>1426395600</v>
      </c>
      <c r="L303" s="5" t="b">
        <v>0</v>
      </c>
      <c r="M303" s="5" t="b">
        <v>0</v>
      </c>
      <c r="N303" s="5" t="s">
        <v>50</v>
      </c>
      <c r="O303" s="8">
        <f t="shared" si="257"/>
        <v>13.446666666666667</v>
      </c>
      <c r="P303" s="9">
        <f t="shared" si="259"/>
        <v>41.023728813559323</v>
      </c>
      <c r="Q303" s="5" t="str" cm="1">
        <f t="array" ref="Q303:R303">_xlfn.TEXTSPLIT(N303,"/")</f>
        <v>film &amp; video</v>
      </c>
      <c r="R303" t="str">
        <v>documentary</v>
      </c>
      <c r="S303" s="10">
        <f t="shared" ref="S303:T303" si="305">(((J303/60)/60)/24)+DATE(1970,1,1)</f>
        <v>42061.25</v>
      </c>
      <c r="T303" s="10">
        <f t="shared" si="305"/>
        <v>42078.208333333328</v>
      </c>
    </row>
    <row r="304" spans="1:20" ht="15.75" customHeight="1" x14ac:dyDescent="0.25">
      <c r="A304" s="5">
        <v>302</v>
      </c>
      <c r="B304" s="6" t="s">
        <v>664</v>
      </c>
      <c r="C304" s="7" t="s">
        <v>665</v>
      </c>
      <c r="D304" s="5">
        <v>76100</v>
      </c>
      <c r="E304" s="5">
        <v>24234</v>
      </c>
      <c r="F304" s="5" t="s">
        <v>22</v>
      </c>
      <c r="G304" s="5">
        <v>245</v>
      </c>
      <c r="H304" s="5" t="s">
        <v>29</v>
      </c>
      <c r="I304" s="5" t="s">
        <v>30</v>
      </c>
      <c r="J304" s="5">
        <v>1535864400</v>
      </c>
      <c r="K304" s="5">
        <v>1537074000</v>
      </c>
      <c r="L304" s="5" t="b">
        <v>0</v>
      </c>
      <c r="M304" s="5" t="b">
        <v>0</v>
      </c>
      <c r="N304" s="5" t="s">
        <v>41</v>
      </c>
      <c r="O304" s="8">
        <f t="shared" si="257"/>
        <v>0.31844940867279897</v>
      </c>
      <c r="P304" s="9">
        <f t="shared" si="259"/>
        <v>98.914285714285711</v>
      </c>
      <c r="Q304" s="5" t="str" cm="1">
        <f t="array" ref="Q304:R304">_xlfn.TEXTSPLIT(N304,"/")</f>
        <v>theater</v>
      </c>
      <c r="R304" t="str">
        <v>plays</v>
      </c>
      <c r="S304" s="10">
        <f t="shared" ref="S304:T304" si="306">(((J304/60)/60)/24)+DATE(1970,1,1)</f>
        <v>43345.208333333328</v>
      </c>
      <c r="T304" s="10">
        <f t="shared" si="306"/>
        <v>43359.208333333328</v>
      </c>
    </row>
    <row r="305" spans="1:20" ht="15.75" customHeight="1" x14ac:dyDescent="0.25">
      <c r="A305" s="5">
        <v>303</v>
      </c>
      <c r="B305" s="6" t="s">
        <v>666</v>
      </c>
      <c r="C305" s="7" t="s">
        <v>667</v>
      </c>
      <c r="D305" s="5">
        <v>3400</v>
      </c>
      <c r="E305" s="5">
        <v>2809</v>
      </c>
      <c r="F305" s="5" t="s">
        <v>22</v>
      </c>
      <c r="G305" s="5">
        <v>32</v>
      </c>
      <c r="H305" s="5" t="s">
        <v>29</v>
      </c>
      <c r="I305" s="5" t="s">
        <v>30</v>
      </c>
      <c r="J305" s="5">
        <v>1452146400</v>
      </c>
      <c r="K305" s="5">
        <v>1452578400</v>
      </c>
      <c r="L305" s="5" t="b">
        <v>0</v>
      </c>
      <c r="M305" s="5" t="b">
        <v>0</v>
      </c>
      <c r="N305" s="5" t="s">
        <v>68</v>
      </c>
      <c r="O305" s="8">
        <f t="shared" si="257"/>
        <v>0.82617647058823529</v>
      </c>
      <c r="P305" s="9">
        <f t="shared" si="259"/>
        <v>87.78125</v>
      </c>
      <c r="Q305" s="5" t="str" cm="1">
        <f t="array" ref="Q305:R305">_xlfn.TEXTSPLIT(N305,"/")</f>
        <v>music</v>
      </c>
      <c r="R305" t="str">
        <v>indie rock</v>
      </c>
      <c r="S305" s="10">
        <f t="shared" ref="S305:T305" si="307">(((J305/60)/60)/24)+DATE(1970,1,1)</f>
        <v>42376.25</v>
      </c>
      <c r="T305" s="10">
        <f t="shared" si="307"/>
        <v>42381.25</v>
      </c>
    </row>
    <row r="306" spans="1:20" ht="15.75" customHeight="1" x14ac:dyDescent="0.25">
      <c r="A306" s="5">
        <v>304</v>
      </c>
      <c r="B306" s="6" t="s">
        <v>668</v>
      </c>
      <c r="C306" s="7" t="s">
        <v>669</v>
      </c>
      <c r="D306" s="5">
        <v>2100</v>
      </c>
      <c r="E306" s="5">
        <v>11469</v>
      </c>
      <c r="F306" s="5" t="s">
        <v>28</v>
      </c>
      <c r="G306" s="5">
        <v>142</v>
      </c>
      <c r="H306" s="5" t="s">
        <v>29</v>
      </c>
      <c r="I306" s="5" t="s">
        <v>30</v>
      </c>
      <c r="J306" s="5">
        <v>1470546000</v>
      </c>
      <c r="K306" s="5">
        <v>1474088400</v>
      </c>
      <c r="L306" s="5" t="b">
        <v>0</v>
      </c>
      <c r="M306" s="5" t="b">
        <v>0</v>
      </c>
      <c r="N306" s="5" t="s">
        <v>50</v>
      </c>
      <c r="O306" s="8">
        <f t="shared" si="257"/>
        <v>5.4614285714285717</v>
      </c>
      <c r="P306" s="9">
        <f t="shared" si="259"/>
        <v>80.767605633802816</v>
      </c>
      <c r="Q306" s="5" t="str" cm="1">
        <f t="array" ref="Q306:R306">_xlfn.TEXTSPLIT(N306,"/")</f>
        <v>film &amp; video</v>
      </c>
      <c r="R306" t="str">
        <v>documentary</v>
      </c>
      <c r="S306" s="10">
        <f t="shared" ref="S306:T306" si="308">(((J306/60)/60)/24)+DATE(1970,1,1)</f>
        <v>42589.208333333328</v>
      </c>
      <c r="T306" s="10">
        <f t="shared" si="308"/>
        <v>42630.208333333328</v>
      </c>
    </row>
    <row r="307" spans="1:20" ht="15.75" customHeight="1" x14ac:dyDescent="0.25">
      <c r="A307" s="5">
        <v>305</v>
      </c>
      <c r="B307" s="6" t="s">
        <v>670</v>
      </c>
      <c r="C307" s="7" t="s">
        <v>671</v>
      </c>
      <c r="D307" s="5">
        <v>2800</v>
      </c>
      <c r="E307" s="5">
        <v>8014</v>
      </c>
      <c r="F307" s="5" t="s">
        <v>28</v>
      </c>
      <c r="G307" s="5">
        <v>85</v>
      </c>
      <c r="H307" s="5" t="s">
        <v>29</v>
      </c>
      <c r="I307" s="5" t="s">
        <v>30</v>
      </c>
      <c r="J307" s="5">
        <v>1458363600</v>
      </c>
      <c r="K307" s="5">
        <v>1461906000</v>
      </c>
      <c r="L307" s="5" t="b">
        <v>0</v>
      </c>
      <c r="M307" s="5" t="b">
        <v>0</v>
      </c>
      <c r="N307" s="5" t="s">
        <v>41</v>
      </c>
      <c r="O307" s="8">
        <f t="shared" si="257"/>
        <v>2.8621428571428571</v>
      </c>
      <c r="P307" s="9">
        <f t="shared" si="259"/>
        <v>94.28235294117647</v>
      </c>
      <c r="Q307" s="5" t="str" cm="1">
        <f t="array" ref="Q307:R307">_xlfn.TEXTSPLIT(N307,"/")</f>
        <v>theater</v>
      </c>
      <c r="R307" t="str">
        <v>plays</v>
      </c>
      <c r="S307" s="10">
        <f t="shared" ref="S307:T307" si="309">(((J307/60)/60)/24)+DATE(1970,1,1)</f>
        <v>42448.208333333328</v>
      </c>
      <c r="T307" s="10">
        <f t="shared" si="309"/>
        <v>42489.208333333328</v>
      </c>
    </row>
    <row r="308" spans="1:20" ht="15.75" customHeight="1" x14ac:dyDescent="0.25">
      <c r="A308" s="5">
        <v>306</v>
      </c>
      <c r="B308" s="6" t="s">
        <v>672</v>
      </c>
      <c r="C308" s="7" t="s">
        <v>673</v>
      </c>
      <c r="D308" s="5">
        <v>6500</v>
      </c>
      <c r="E308" s="5">
        <v>514</v>
      </c>
      <c r="F308" s="5" t="s">
        <v>22</v>
      </c>
      <c r="G308" s="5">
        <v>7</v>
      </c>
      <c r="H308" s="5" t="s">
        <v>29</v>
      </c>
      <c r="I308" s="5" t="s">
        <v>30</v>
      </c>
      <c r="J308" s="5">
        <v>1500008400</v>
      </c>
      <c r="K308" s="5">
        <v>1500267600</v>
      </c>
      <c r="L308" s="5" t="b">
        <v>0</v>
      </c>
      <c r="M308" s="5" t="b">
        <v>1</v>
      </c>
      <c r="N308" s="5" t="s">
        <v>41</v>
      </c>
      <c r="O308" s="8">
        <f t="shared" si="257"/>
        <v>7.9076923076923072E-2</v>
      </c>
      <c r="P308" s="9">
        <f t="shared" si="259"/>
        <v>73.428571428571431</v>
      </c>
      <c r="Q308" s="5" t="str" cm="1">
        <f t="array" ref="Q308:R308">_xlfn.TEXTSPLIT(N308,"/")</f>
        <v>theater</v>
      </c>
      <c r="R308" t="str">
        <v>plays</v>
      </c>
      <c r="S308" s="10">
        <f t="shared" ref="S308:T308" si="310">(((J308/60)/60)/24)+DATE(1970,1,1)</f>
        <v>42930.208333333328</v>
      </c>
      <c r="T308" s="10">
        <f t="shared" si="310"/>
        <v>42933.208333333328</v>
      </c>
    </row>
    <row r="309" spans="1:20" ht="15.75" customHeight="1" x14ac:dyDescent="0.25">
      <c r="A309" s="5">
        <v>307</v>
      </c>
      <c r="B309" s="6" t="s">
        <v>674</v>
      </c>
      <c r="C309" s="7" t="s">
        <v>675</v>
      </c>
      <c r="D309" s="5">
        <v>32900</v>
      </c>
      <c r="E309" s="5">
        <v>43473</v>
      </c>
      <c r="F309" s="5" t="s">
        <v>28</v>
      </c>
      <c r="G309" s="5">
        <v>659</v>
      </c>
      <c r="H309" s="5" t="s">
        <v>44</v>
      </c>
      <c r="I309" s="5" t="s">
        <v>45</v>
      </c>
      <c r="J309" s="5">
        <v>1338958800</v>
      </c>
      <c r="K309" s="5">
        <v>1340686800</v>
      </c>
      <c r="L309" s="5" t="b">
        <v>0</v>
      </c>
      <c r="M309" s="5" t="b">
        <v>1</v>
      </c>
      <c r="N309" s="5" t="s">
        <v>127</v>
      </c>
      <c r="O309" s="8">
        <f t="shared" si="257"/>
        <v>1.3213677811550153</v>
      </c>
      <c r="P309" s="9">
        <f t="shared" si="259"/>
        <v>65.968133535660087</v>
      </c>
      <c r="Q309" s="5" t="str" cm="1">
        <f t="array" ref="Q309:R309">_xlfn.TEXTSPLIT(N309,"/")</f>
        <v>publishing</v>
      </c>
      <c r="R309" t="str">
        <v>fiction</v>
      </c>
      <c r="S309" s="10">
        <f t="shared" ref="S309:T309" si="311">(((J309/60)/60)/24)+DATE(1970,1,1)</f>
        <v>41066.208333333336</v>
      </c>
      <c r="T309" s="10">
        <f t="shared" si="311"/>
        <v>41086.208333333336</v>
      </c>
    </row>
    <row r="310" spans="1:20" ht="15.75" customHeight="1" x14ac:dyDescent="0.25">
      <c r="A310" s="5">
        <v>308</v>
      </c>
      <c r="B310" s="6" t="s">
        <v>676</v>
      </c>
      <c r="C310" s="7" t="s">
        <v>677</v>
      </c>
      <c r="D310" s="5">
        <v>118200</v>
      </c>
      <c r="E310" s="5">
        <v>87560</v>
      </c>
      <c r="F310" s="5" t="s">
        <v>22</v>
      </c>
      <c r="G310" s="5">
        <v>803</v>
      </c>
      <c r="H310" s="5" t="s">
        <v>29</v>
      </c>
      <c r="I310" s="5" t="s">
        <v>30</v>
      </c>
      <c r="J310" s="5">
        <v>1303102800</v>
      </c>
      <c r="K310" s="5">
        <v>1303189200</v>
      </c>
      <c r="L310" s="5" t="b">
        <v>0</v>
      </c>
      <c r="M310" s="5" t="b">
        <v>0</v>
      </c>
      <c r="N310" s="5" t="s">
        <v>41</v>
      </c>
      <c r="O310" s="8">
        <f t="shared" si="257"/>
        <v>0.74077834179357027</v>
      </c>
      <c r="P310" s="9">
        <f t="shared" si="259"/>
        <v>109.04109589041096</v>
      </c>
      <c r="Q310" s="5" t="str" cm="1">
        <f t="array" ref="Q310:R310">_xlfn.TEXTSPLIT(N310,"/")</f>
        <v>theater</v>
      </c>
      <c r="R310" t="str">
        <v>plays</v>
      </c>
      <c r="S310" s="10">
        <f t="shared" ref="S310:T310" si="312">(((J310/60)/60)/24)+DATE(1970,1,1)</f>
        <v>40651.208333333336</v>
      </c>
      <c r="T310" s="10">
        <f t="shared" si="312"/>
        <v>40652.208333333336</v>
      </c>
    </row>
    <row r="311" spans="1:20" ht="15.75" customHeight="1" x14ac:dyDescent="0.25">
      <c r="A311" s="5">
        <v>309</v>
      </c>
      <c r="B311" s="6" t="s">
        <v>678</v>
      </c>
      <c r="C311" s="7" t="s">
        <v>679</v>
      </c>
      <c r="D311" s="5">
        <v>4100</v>
      </c>
      <c r="E311" s="5">
        <v>3087</v>
      </c>
      <c r="F311" s="5" t="s">
        <v>82</v>
      </c>
      <c r="G311" s="5">
        <v>75</v>
      </c>
      <c r="H311" s="5" t="s">
        <v>29</v>
      </c>
      <c r="I311" s="5" t="s">
        <v>30</v>
      </c>
      <c r="J311" s="5">
        <v>1316581200</v>
      </c>
      <c r="K311" s="5">
        <v>1318309200</v>
      </c>
      <c r="L311" s="5" t="b">
        <v>0</v>
      </c>
      <c r="M311" s="5" t="b">
        <v>1</v>
      </c>
      <c r="N311" s="5" t="s">
        <v>68</v>
      </c>
      <c r="O311" s="8">
        <f t="shared" si="257"/>
        <v>0.75292682926829269</v>
      </c>
      <c r="P311" s="9">
        <f t="shared" si="259"/>
        <v>41.16</v>
      </c>
      <c r="Q311" s="5" t="str" cm="1">
        <f t="array" ref="Q311:R311">_xlfn.TEXTSPLIT(N311,"/")</f>
        <v>music</v>
      </c>
      <c r="R311" t="str">
        <v>indie rock</v>
      </c>
      <c r="S311" s="10">
        <f t="shared" ref="S311:T311" si="313">(((J311/60)/60)/24)+DATE(1970,1,1)</f>
        <v>40807.208333333336</v>
      </c>
      <c r="T311" s="10">
        <f t="shared" si="313"/>
        <v>40827.208333333336</v>
      </c>
    </row>
    <row r="312" spans="1:20" ht="15.75" customHeight="1" x14ac:dyDescent="0.25">
      <c r="A312" s="5">
        <v>310</v>
      </c>
      <c r="B312" s="6" t="s">
        <v>680</v>
      </c>
      <c r="C312" s="7" t="s">
        <v>681</v>
      </c>
      <c r="D312" s="5">
        <v>7800</v>
      </c>
      <c r="E312" s="5">
        <v>1586</v>
      </c>
      <c r="F312" s="5" t="s">
        <v>22</v>
      </c>
      <c r="G312" s="5">
        <v>16</v>
      </c>
      <c r="H312" s="5" t="s">
        <v>29</v>
      </c>
      <c r="I312" s="5" t="s">
        <v>30</v>
      </c>
      <c r="J312" s="5">
        <v>1270789200</v>
      </c>
      <c r="K312" s="5">
        <v>1272171600</v>
      </c>
      <c r="L312" s="5" t="b">
        <v>0</v>
      </c>
      <c r="M312" s="5" t="b">
        <v>0</v>
      </c>
      <c r="N312" s="5" t="s">
        <v>97</v>
      </c>
      <c r="O312" s="8">
        <f t="shared" si="257"/>
        <v>0.20333333333333334</v>
      </c>
      <c r="P312" s="9">
        <f t="shared" si="259"/>
        <v>99.125</v>
      </c>
      <c r="Q312" s="5" t="str" cm="1">
        <f t="array" ref="Q312:R312">_xlfn.TEXTSPLIT(N312,"/")</f>
        <v>games</v>
      </c>
      <c r="R312" t="str">
        <v>video games</v>
      </c>
      <c r="S312" s="10">
        <f t="shared" ref="S312:T312" si="314">(((J312/60)/60)/24)+DATE(1970,1,1)</f>
        <v>40277.208333333336</v>
      </c>
      <c r="T312" s="10">
        <f t="shared" si="314"/>
        <v>40293.208333333336</v>
      </c>
    </row>
    <row r="313" spans="1:20" ht="15.75" customHeight="1" x14ac:dyDescent="0.25">
      <c r="A313" s="5">
        <v>311</v>
      </c>
      <c r="B313" s="6" t="s">
        <v>682</v>
      </c>
      <c r="C313" s="7" t="s">
        <v>683</v>
      </c>
      <c r="D313" s="5">
        <v>6300</v>
      </c>
      <c r="E313" s="5">
        <v>12812</v>
      </c>
      <c r="F313" s="5" t="s">
        <v>28</v>
      </c>
      <c r="G313" s="5">
        <v>121</v>
      </c>
      <c r="H313" s="5" t="s">
        <v>29</v>
      </c>
      <c r="I313" s="5" t="s">
        <v>30</v>
      </c>
      <c r="J313" s="5">
        <v>1297836000</v>
      </c>
      <c r="K313" s="5">
        <v>1298872800</v>
      </c>
      <c r="L313" s="5" t="b">
        <v>0</v>
      </c>
      <c r="M313" s="5" t="b">
        <v>0</v>
      </c>
      <c r="N313" s="5" t="s">
        <v>41</v>
      </c>
      <c r="O313" s="8">
        <f t="shared" si="257"/>
        <v>2.0336507936507937</v>
      </c>
      <c r="P313" s="9">
        <f t="shared" si="259"/>
        <v>105.88429752066116</v>
      </c>
      <c r="Q313" s="5" t="str" cm="1">
        <f t="array" ref="Q313:R313">_xlfn.TEXTSPLIT(N313,"/")</f>
        <v>theater</v>
      </c>
      <c r="R313" t="str">
        <v>plays</v>
      </c>
      <c r="S313" s="10">
        <f t="shared" ref="S313:T313" si="315">(((J313/60)/60)/24)+DATE(1970,1,1)</f>
        <v>40590.25</v>
      </c>
      <c r="T313" s="10">
        <f t="shared" si="315"/>
        <v>40602.25</v>
      </c>
    </row>
    <row r="314" spans="1:20" ht="15.75" customHeight="1" x14ac:dyDescent="0.25">
      <c r="A314" s="5">
        <v>312</v>
      </c>
      <c r="B314" s="6" t="s">
        <v>684</v>
      </c>
      <c r="C314" s="7" t="s">
        <v>685</v>
      </c>
      <c r="D314" s="5">
        <v>59100</v>
      </c>
      <c r="E314" s="5">
        <v>183345</v>
      </c>
      <c r="F314" s="5" t="s">
        <v>28</v>
      </c>
      <c r="G314" s="5">
        <v>3742</v>
      </c>
      <c r="H314" s="5" t="s">
        <v>29</v>
      </c>
      <c r="I314" s="5" t="s">
        <v>30</v>
      </c>
      <c r="J314" s="5">
        <v>1382677200</v>
      </c>
      <c r="K314" s="5">
        <v>1383282000</v>
      </c>
      <c r="L314" s="5" t="b">
        <v>0</v>
      </c>
      <c r="M314" s="5" t="b">
        <v>0</v>
      </c>
      <c r="N314" s="5" t="s">
        <v>41</v>
      </c>
      <c r="O314" s="8">
        <f t="shared" si="257"/>
        <v>3.1022842639593908</v>
      </c>
      <c r="P314" s="9">
        <f t="shared" si="259"/>
        <v>48.996525921966864</v>
      </c>
      <c r="Q314" s="5" t="str" cm="1">
        <f t="array" ref="Q314:R314">_xlfn.TEXTSPLIT(N314,"/")</f>
        <v>theater</v>
      </c>
      <c r="R314" t="str">
        <v>plays</v>
      </c>
      <c r="S314" s="10">
        <f t="shared" ref="S314:T314" si="316">(((J314/60)/60)/24)+DATE(1970,1,1)</f>
        <v>41572.208333333336</v>
      </c>
      <c r="T314" s="10">
        <f t="shared" si="316"/>
        <v>41579.208333333336</v>
      </c>
    </row>
    <row r="315" spans="1:20" ht="15.75" customHeight="1" x14ac:dyDescent="0.25">
      <c r="A315" s="5">
        <v>313</v>
      </c>
      <c r="B315" s="6" t="s">
        <v>686</v>
      </c>
      <c r="C315" s="7" t="s">
        <v>687</v>
      </c>
      <c r="D315" s="5">
        <v>2200</v>
      </c>
      <c r="E315" s="5">
        <v>8697</v>
      </c>
      <c r="F315" s="5" t="s">
        <v>28</v>
      </c>
      <c r="G315" s="5">
        <v>223</v>
      </c>
      <c r="H315" s="5" t="s">
        <v>29</v>
      </c>
      <c r="I315" s="5" t="s">
        <v>30</v>
      </c>
      <c r="J315" s="5">
        <v>1330322400</v>
      </c>
      <c r="K315" s="5">
        <v>1330495200</v>
      </c>
      <c r="L315" s="5" t="b">
        <v>0</v>
      </c>
      <c r="M315" s="5" t="b">
        <v>0</v>
      </c>
      <c r="N315" s="5" t="s">
        <v>31</v>
      </c>
      <c r="O315" s="8">
        <f t="shared" si="257"/>
        <v>3.9531818181818181</v>
      </c>
      <c r="P315" s="9">
        <f t="shared" si="259"/>
        <v>39</v>
      </c>
      <c r="Q315" s="5" t="str" cm="1">
        <f t="array" ref="Q315:R315">_xlfn.TEXTSPLIT(N315,"/")</f>
        <v>music</v>
      </c>
      <c r="R315" t="str">
        <v>rock</v>
      </c>
      <c r="S315" s="10">
        <f t="shared" ref="S315:T315" si="317">(((J315/60)/60)/24)+DATE(1970,1,1)</f>
        <v>40966.25</v>
      </c>
      <c r="T315" s="10">
        <f t="shared" si="317"/>
        <v>40968.25</v>
      </c>
    </row>
    <row r="316" spans="1:20" ht="15.75" customHeight="1" x14ac:dyDescent="0.25">
      <c r="A316" s="5">
        <v>314</v>
      </c>
      <c r="B316" s="6" t="s">
        <v>688</v>
      </c>
      <c r="C316" s="7" t="s">
        <v>689</v>
      </c>
      <c r="D316" s="5">
        <v>1400</v>
      </c>
      <c r="E316" s="5">
        <v>4126</v>
      </c>
      <c r="F316" s="5" t="s">
        <v>28</v>
      </c>
      <c r="G316" s="5">
        <v>133</v>
      </c>
      <c r="H316" s="5" t="s">
        <v>29</v>
      </c>
      <c r="I316" s="5" t="s">
        <v>30</v>
      </c>
      <c r="J316" s="5">
        <v>1552366800</v>
      </c>
      <c r="K316" s="5">
        <v>1552798800</v>
      </c>
      <c r="L316" s="5" t="b">
        <v>0</v>
      </c>
      <c r="M316" s="5" t="b">
        <v>1</v>
      </c>
      <c r="N316" s="5" t="s">
        <v>50</v>
      </c>
      <c r="O316" s="8">
        <f t="shared" si="257"/>
        <v>2.9471428571428571</v>
      </c>
      <c r="P316" s="9">
        <f t="shared" si="259"/>
        <v>31.022556390977442</v>
      </c>
      <c r="Q316" s="5" t="str" cm="1">
        <f t="array" ref="Q316:R316">_xlfn.TEXTSPLIT(N316,"/")</f>
        <v>film &amp; video</v>
      </c>
      <c r="R316" t="str">
        <v>documentary</v>
      </c>
      <c r="S316" s="10">
        <f t="shared" ref="S316:T316" si="318">(((J316/60)/60)/24)+DATE(1970,1,1)</f>
        <v>43536.208333333328</v>
      </c>
      <c r="T316" s="10">
        <f t="shared" si="318"/>
        <v>43541.208333333328</v>
      </c>
    </row>
    <row r="317" spans="1:20" ht="15.75" customHeight="1" x14ac:dyDescent="0.25">
      <c r="A317" s="5">
        <v>315</v>
      </c>
      <c r="B317" s="6" t="s">
        <v>690</v>
      </c>
      <c r="C317" s="7" t="s">
        <v>691</v>
      </c>
      <c r="D317" s="5">
        <v>9500</v>
      </c>
      <c r="E317" s="5">
        <v>3220</v>
      </c>
      <c r="F317" s="5" t="s">
        <v>22</v>
      </c>
      <c r="G317" s="5">
        <v>31</v>
      </c>
      <c r="H317" s="5" t="s">
        <v>29</v>
      </c>
      <c r="I317" s="5" t="s">
        <v>30</v>
      </c>
      <c r="J317" s="5">
        <v>1400907600</v>
      </c>
      <c r="K317" s="5">
        <v>1403413200</v>
      </c>
      <c r="L317" s="5" t="b">
        <v>0</v>
      </c>
      <c r="M317" s="5" t="b">
        <v>0</v>
      </c>
      <c r="N317" s="5" t="s">
        <v>41</v>
      </c>
      <c r="O317" s="8">
        <f t="shared" si="257"/>
        <v>0.33894736842105261</v>
      </c>
      <c r="P317" s="9">
        <f t="shared" si="259"/>
        <v>103.87096774193549</v>
      </c>
      <c r="Q317" s="5" t="str" cm="1">
        <f t="array" ref="Q317:R317">_xlfn.TEXTSPLIT(N317,"/")</f>
        <v>theater</v>
      </c>
      <c r="R317" t="str">
        <v>plays</v>
      </c>
      <c r="S317" s="10">
        <f t="shared" ref="S317:T317" si="319">(((J317/60)/60)/24)+DATE(1970,1,1)</f>
        <v>41783.208333333336</v>
      </c>
      <c r="T317" s="10">
        <f t="shared" si="319"/>
        <v>41812.208333333336</v>
      </c>
    </row>
    <row r="318" spans="1:20" ht="15.75" customHeight="1" x14ac:dyDescent="0.25">
      <c r="A318" s="5">
        <v>316</v>
      </c>
      <c r="B318" s="6" t="s">
        <v>692</v>
      </c>
      <c r="C318" s="7" t="s">
        <v>693</v>
      </c>
      <c r="D318" s="5">
        <v>9600</v>
      </c>
      <c r="E318" s="5">
        <v>6401</v>
      </c>
      <c r="F318" s="5" t="s">
        <v>22</v>
      </c>
      <c r="G318" s="5">
        <v>108</v>
      </c>
      <c r="H318" s="5" t="s">
        <v>115</v>
      </c>
      <c r="I318" s="5" t="s">
        <v>116</v>
      </c>
      <c r="J318" s="5">
        <v>1574143200</v>
      </c>
      <c r="K318" s="5">
        <v>1574229600</v>
      </c>
      <c r="L318" s="5" t="b">
        <v>0</v>
      </c>
      <c r="M318" s="5" t="b">
        <v>1</v>
      </c>
      <c r="N318" s="5" t="s">
        <v>25</v>
      </c>
      <c r="O318" s="8">
        <f t="shared" si="257"/>
        <v>0.66677083333333331</v>
      </c>
      <c r="P318" s="9">
        <f t="shared" si="259"/>
        <v>59.268518518518519</v>
      </c>
      <c r="Q318" s="5" t="str" cm="1">
        <f t="array" ref="Q318:R318">_xlfn.TEXTSPLIT(N318,"/")</f>
        <v>food</v>
      </c>
      <c r="R318" t="str">
        <v>food trucks</v>
      </c>
      <c r="S318" s="10">
        <f t="shared" ref="S318:T318" si="320">(((J318/60)/60)/24)+DATE(1970,1,1)</f>
        <v>43788.25</v>
      </c>
      <c r="T318" s="10">
        <f t="shared" si="320"/>
        <v>43789.25</v>
      </c>
    </row>
    <row r="319" spans="1:20" ht="15.75" customHeight="1" x14ac:dyDescent="0.25">
      <c r="A319" s="5">
        <v>317</v>
      </c>
      <c r="B319" s="6" t="s">
        <v>694</v>
      </c>
      <c r="C319" s="7" t="s">
        <v>695</v>
      </c>
      <c r="D319" s="5">
        <v>6600</v>
      </c>
      <c r="E319" s="5">
        <v>1269</v>
      </c>
      <c r="F319" s="5" t="s">
        <v>22</v>
      </c>
      <c r="G319" s="5">
        <v>30</v>
      </c>
      <c r="H319" s="5" t="s">
        <v>29</v>
      </c>
      <c r="I319" s="5" t="s">
        <v>30</v>
      </c>
      <c r="J319" s="5">
        <v>1494738000</v>
      </c>
      <c r="K319" s="5">
        <v>1495861200</v>
      </c>
      <c r="L319" s="5" t="b">
        <v>0</v>
      </c>
      <c r="M319" s="5" t="b">
        <v>0</v>
      </c>
      <c r="N319" s="5" t="s">
        <v>41</v>
      </c>
      <c r="O319" s="8">
        <f t="shared" si="257"/>
        <v>0.19227272727272726</v>
      </c>
      <c r="P319" s="9">
        <f t="shared" si="259"/>
        <v>42.3</v>
      </c>
      <c r="Q319" s="5" t="str" cm="1">
        <f t="array" ref="Q319:R319">_xlfn.TEXTSPLIT(N319,"/")</f>
        <v>theater</v>
      </c>
      <c r="R319" t="str">
        <v>plays</v>
      </c>
      <c r="S319" s="10">
        <f t="shared" ref="S319:T319" si="321">(((J319/60)/60)/24)+DATE(1970,1,1)</f>
        <v>42869.208333333328</v>
      </c>
      <c r="T319" s="10">
        <f t="shared" si="321"/>
        <v>42882.208333333328</v>
      </c>
    </row>
    <row r="320" spans="1:20" ht="15.75" customHeight="1" x14ac:dyDescent="0.25">
      <c r="A320" s="5">
        <v>318</v>
      </c>
      <c r="B320" s="6" t="s">
        <v>696</v>
      </c>
      <c r="C320" s="7" t="s">
        <v>697</v>
      </c>
      <c r="D320" s="5">
        <v>5700</v>
      </c>
      <c r="E320" s="5">
        <v>903</v>
      </c>
      <c r="F320" s="5" t="s">
        <v>22</v>
      </c>
      <c r="G320" s="5">
        <v>17</v>
      </c>
      <c r="H320" s="5" t="s">
        <v>29</v>
      </c>
      <c r="I320" s="5" t="s">
        <v>30</v>
      </c>
      <c r="J320" s="5">
        <v>1392357600</v>
      </c>
      <c r="K320" s="5">
        <v>1392530400</v>
      </c>
      <c r="L320" s="5" t="b">
        <v>0</v>
      </c>
      <c r="M320" s="5" t="b">
        <v>0</v>
      </c>
      <c r="N320" s="5" t="s">
        <v>31</v>
      </c>
      <c r="O320" s="8">
        <f t="shared" si="257"/>
        <v>0.15842105263157893</v>
      </c>
      <c r="P320" s="9">
        <f t="shared" si="259"/>
        <v>53.117647058823529</v>
      </c>
      <c r="Q320" s="5" t="str" cm="1">
        <f t="array" ref="Q320:R320">_xlfn.TEXTSPLIT(N320,"/")</f>
        <v>music</v>
      </c>
      <c r="R320" t="str">
        <v>rock</v>
      </c>
      <c r="S320" s="10">
        <f t="shared" ref="S320:T320" si="322">(((J320/60)/60)/24)+DATE(1970,1,1)</f>
        <v>41684.25</v>
      </c>
      <c r="T320" s="10">
        <f t="shared" si="322"/>
        <v>41686.25</v>
      </c>
    </row>
    <row r="321" spans="1:20" ht="15.75" customHeight="1" x14ac:dyDescent="0.25">
      <c r="A321" s="5">
        <v>319</v>
      </c>
      <c r="B321" s="6" t="s">
        <v>698</v>
      </c>
      <c r="C321" s="7" t="s">
        <v>699</v>
      </c>
      <c r="D321" s="5">
        <v>8400</v>
      </c>
      <c r="E321" s="5">
        <v>3251</v>
      </c>
      <c r="F321" s="5" t="s">
        <v>82</v>
      </c>
      <c r="G321" s="5">
        <v>64</v>
      </c>
      <c r="H321" s="5" t="s">
        <v>29</v>
      </c>
      <c r="I321" s="5" t="s">
        <v>30</v>
      </c>
      <c r="J321" s="5">
        <v>1281589200</v>
      </c>
      <c r="K321" s="5">
        <v>1283662800</v>
      </c>
      <c r="L321" s="5" t="b">
        <v>0</v>
      </c>
      <c r="M321" s="5" t="b">
        <v>0</v>
      </c>
      <c r="N321" s="5" t="s">
        <v>36</v>
      </c>
      <c r="O321" s="8">
        <f t="shared" si="257"/>
        <v>0.38702380952380955</v>
      </c>
      <c r="P321" s="9">
        <f t="shared" si="259"/>
        <v>50.796875</v>
      </c>
      <c r="Q321" s="5" t="str" cm="1">
        <f t="array" ref="Q321:R321">_xlfn.TEXTSPLIT(N321,"/")</f>
        <v>technology</v>
      </c>
      <c r="R321" t="str">
        <v>web</v>
      </c>
      <c r="S321" s="10">
        <f t="shared" ref="S321:T321" si="323">(((J321/60)/60)/24)+DATE(1970,1,1)</f>
        <v>40402.208333333336</v>
      </c>
      <c r="T321" s="10">
        <f t="shared" si="323"/>
        <v>40426.208333333336</v>
      </c>
    </row>
    <row r="322" spans="1:20" ht="15.75" customHeight="1" x14ac:dyDescent="0.25">
      <c r="A322" s="5">
        <v>320</v>
      </c>
      <c r="B322" s="6" t="s">
        <v>700</v>
      </c>
      <c r="C322" s="7" t="s">
        <v>701</v>
      </c>
      <c r="D322" s="5">
        <v>84400</v>
      </c>
      <c r="E322" s="5">
        <v>8092</v>
      </c>
      <c r="F322" s="5" t="s">
        <v>22</v>
      </c>
      <c r="G322" s="5">
        <v>80</v>
      </c>
      <c r="H322" s="5" t="s">
        <v>29</v>
      </c>
      <c r="I322" s="5" t="s">
        <v>30</v>
      </c>
      <c r="J322" s="5">
        <v>1305003600</v>
      </c>
      <c r="K322" s="5">
        <v>1305781200</v>
      </c>
      <c r="L322" s="5" t="b">
        <v>0</v>
      </c>
      <c r="M322" s="5" t="b">
        <v>0</v>
      </c>
      <c r="N322" s="5" t="s">
        <v>127</v>
      </c>
      <c r="O322" s="8">
        <f t="shared" si="257"/>
        <v>9.5876777251184833E-2</v>
      </c>
      <c r="P322" s="9">
        <f t="shared" si="259"/>
        <v>101.15</v>
      </c>
      <c r="Q322" s="5" t="str" cm="1">
        <f t="array" ref="Q322:R322">_xlfn.TEXTSPLIT(N322,"/")</f>
        <v>publishing</v>
      </c>
      <c r="R322" t="str">
        <v>fiction</v>
      </c>
      <c r="S322" s="10">
        <f t="shared" ref="S322:T322" si="324">(((J322/60)/60)/24)+DATE(1970,1,1)</f>
        <v>40673.208333333336</v>
      </c>
      <c r="T322" s="10">
        <f t="shared" si="324"/>
        <v>40682.208333333336</v>
      </c>
    </row>
    <row r="323" spans="1:20" ht="15.75" customHeight="1" x14ac:dyDescent="0.25">
      <c r="A323" s="5">
        <v>321</v>
      </c>
      <c r="B323" s="6" t="s">
        <v>702</v>
      </c>
      <c r="C323" s="7" t="s">
        <v>703</v>
      </c>
      <c r="D323" s="5">
        <v>170400</v>
      </c>
      <c r="E323" s="5">
        <v>160422</v>
      </c>
      <c r="F323" s="5" t="s">
        <v>22</v>
      </c>
      <c r="G323" s="5">
        <v>2468</v>
      </c>
      <c r="H323" s="5" t="s">
        <v>29</v>
      </c>
      <c r="I323" s="5" t="s">
        <v>30</v>
      </c>
      <c r="J323" s="5">
        <v>1301634000</v>
      </c>
      <c r="K323" s="5">
        <v>1302325200</v>
      </c>
      <c r="L323" s="5" t="b">
        <v>0</v>
      </c>
      <c r="M323" s="5" t="b">
        <v>0</v>
      </c>
      <c r="N323" s="5" t="s">
        <v>108</v>
      </c>
      <c r="O323" s="8">
        <f t="shared" si="257"/>
        <v>0.94144366197183094</v>
      </c>
      <c r="P323" s="9">
        <f t="shared" si="259"/>
        <v>65.000810372771468</v>
      </c>
      <c r="Q323" s="5" t="str" cm="1">
        <f t="array" ref="Q323:R323">_xlfn.TEXTSPLIT(N323,"/")</f>
        <v>film &amp; video</v>
      </c>
      <c r="R323" t="str">
        <v>shorts</v>
      </c>
      <c r="S323" s="10">
        <f t="shared" ref="S323:T323" si="325">(((J323/60)/60)/24)+DATE(1970,1,1)</f>
        <v>40634.208333333336</v>
      </c>
      <c r="T323" s="10">
        <f t="shared" si="325"/>
        <v>40642.208333333336</v>
      </c>
    </row>
    <row r="324" spans="1:20" ht="15.75" customHeight="1" x14ac:dyDescent="0.25">
      <c r="A324" s="5">
        <v>322</v>
      </c>
      <c r="B324" s="6" t="s">
        <v>704</v>
      </c>
      <c r="C324" s="7" t="s">
        <v>705</v>
      </c>
      <c r="D324" s="5">
        <v>117900</v>
      </c>
      <c r="E324" s="5">
        <v>196377</v>
      </c>
      <c r="F324" s="5" t="s">
        <v>28</v>
      </c>
      <c r="G324" s="5">
        <v>5168</v>
      </c>
      <c r="H324" s="5" t="s">
        <v>29</v>
      </c>
      <c r="I324" s="5" t="s">
        <v>30</v>
      </c>
      <c r="J324" s="5">
        <v>1290664800</v>
      </c>
      <c r="K324" s="5">
        <v>1291788000</v>
      </c>
      <c r="L324" s="5" t="b">
        <v>0</v>
      </c>
      <c r="M324" s="5" t="b">
        <v>0</v>
      </c>
      <c r="N324" s="5" t="s">
        <v>41</v>
      </c>
      <c r="O324" s="8">
        <f t="shared" si="257"/>
        <v>1.6656234096692113</v>
      </c>
      <c r="P324" s="9">
        <f t="shared" si="259"/>
        <v>37.998645510835914</v>
      </c>
      <c r="Q324" s="5" t="str" cm="1">
        <f t="array" ref="Q324:R324">_xlfn.TEXTSPLIT(N324,"/")</f>
        <v>theater</v>
      </c>
      <c r="R324" t="str">
        <v>plays</v>
      </c>
      <c r="S324" s="10">
        <f t="shared" ref="S324:T324" si="326">(((J324/60)/60)/24)+DATE(1970,1,1)</f>
        <v>40507.25</v>
      </c>
      <c r="T324" s="10">
        <f t="shared" si="326"/>
        <v>40520.25</v>
      </c>
    </row>
    <row r="325" spans="1:20" ht="15.75" customHeight="1" x14ac:dyDescent="0.25">
      <c r="A325" s="5">
        <v>323</v>
      </c>
      <c r="B325" s="6" t="s">
        <v>706</v>
      </c>
      <c r="C325" s="7" t="s">
        <v>707</v>
      </c>
      <c r="D325" s="5">
        <v>8900</v>
      </c>
      <c r="E325" s="5">
        <v>2148</v>
      </c>
      <c r="F325" s="5" t="s">
        <v>22</v>
      </c>
      <c r="G325" s="5">
        <v>26</v>
      </c>
      <c r="H325" s="5" t="s">
        <v>48</v>
      </c>
      <c r="I325" s="5" t="s">
        <v>49</v>
      </c>
      <c r="J325" s="5">
        <v>1395896400</v>
      </c>
      <c r="K325" s="5">
        <v>1396069200</v>
      </c>
      <c r="L325" s="5" t="b">
        <v>0</v>
      </c>
      <c r="M325" s="5" t="b">
        <v>0</v>
      </c>
      <c r="N325" s="5" t="s">
        <v>50</v>
      </c>
      <c r="O325" s="8">
        <f t="shared" si="257"/>
        <v>0.24134831460674158</v>
      </c>
      <c r="P325" s="9">
        <f t="shared" si="259"/>
        <v>82.615384615384613</v>
      </c>
      <c r="Q325" s="5" t="str" cm="1">
        <f t="array" ref="Q325:R325">_xlfn.TEXTSPLIT(N325,"/")</f>
        <v>film &amp; video</v>
      </c>
      <c r="R325" t="str">
        <v>documentary</v>
      </c>
      <c r="S325" s="10">
        <f t="shared" ref="S325:T325" si="327">(((J325/60)/60)/24)+DATE(1970,1,1)</f>
        <v>41725.208333333336</v>
      </c>
      <c r="T325" s="10">
        <f t="shared" si="327"/>
        <v>41727.208333333336</v>
      </c>
    </row>
    <row r="326" spans="1:20" ht="15.75" customHeight="1" x14ac:dyDescent="0.25">
      <c r="A326" s="5">
        <v>324</v>
      </c>
      <c r="B326" s="6" t="s">
        <v>708</v>
      </c>
      <c r="C326" s="7" t="s">
        <v>709</v>
      </c>
      <c r="D326" s="5">
        <v>7100</v>
      </c>
      <c r="E326" s="5">
        <v>11648</v>
      </c>
      <c r="F326" s="5" t="s">
        <v>28</v>
      </c>
      <c r="G326" s="5">
        <v>307</v>
      </c>
      <c r="H326" s="5" t="s">
        <v>29</v>
      </c>
      <c r="I326" s="5" t="s">
        <v>30</v>
      </c>
      <c r="J326" s="5">
        <v>1434862800</v>
      </c>
      <c r="K326" s="5">
        <v>1435899600</v>
      </c>
      <c r="L326" s="5" t="b">
        <v>0</v>
      </c>
      <c r="M326" s="5" t="b">
        <v>1</v>
      </c>
      <c r="N326" s="5" t="s">
        <v>41</v>
      </c>
      <c r="O326" s="8">
        <f t="shared" si="257"/>
        <v>1.6405633802816901</v>
      </c>
      <c r="P326" s="9">
        <f t="shared" si="259"/>
        <v>37.941368078175898</v>
      </c>
      <c r="Q326" s="5" t="str" cm="1">
        <f t="array" ref="Q326:R326">_xlfn.TEXTSPLIT(N326,"/")</f>
        <v>theater</v>
      </c>
      <c r="R326" t="str">
        <v>plays</v>
      </c>
      <c r="S326" s="10">
        <f t="shared" ref="S326:T326" si="328">(((J326/60)/60)/24)+DATE(1970,1,1)</f>
        <v>42176.208333333328</v>
      </c>
      <c r="T326" s="10">
        <f t="shared" si="328"/>
        <v>42188.208333333328</v>
      </c>
    </row>
    <row r="327" spans="1:20" ht="15.75" customHeight="1" x14ac:dyDescent="0.25">
      <c r="A327" s="5">
        <v>325</v>
      </c>
      <c r="B327" s="6" t="s">
        <v>710</v>
      </c>
      <c r="C327" s="7" t="s">
        <v>711</v>
      </c>
      <c r="D327" s="5">
        <v>6500</v>
      </c>
      <c r="E327" s="5">
        <v>5897</v>
      </c>
      <c r="F327" s="5" t="s">
        <v>22</v>
      </c>
      <c r="G327" s="5">
        <v>73</v>
      </c>
      <c r="H327" s="5" t="s">
        <v>29</v>
      </c>
      <c r="I327" s="5" t="s">
        <v>30</v>
      </c>
      <c r="J327" s="5">
        <v>1529125200</v>
      </c>
      <c r="K327" s="5">
        <v>1531112400</v>
      </c>
      <c r="L327" s="5" t="b">
        <v>0</v>
      </c>
      <c r="M327" s="5" t="b">
        <v>1</v>
      </c>
      <c r="N327" s="5" t="s">
        <v>41</v>
      </c>
      <c r="O327" s="8">
        <f t="shared" si="257"/>
        <v>0.90723076923076929</v>
      </c>
      <c r="P327" s="9">
        <f t="shared" si="259"/>
        <v>80.780821917808225</v>
      </c>
      <c r="Q327" s="5" t="str" cm="1">
        <f t="array" ref="Q327:R327">_xlfn.TEXTSPLIT(N327,"/")</f>
        <v>theater</v>
      </c>
      <c r="R327" t="str">
        <v>plays</v>
      </c>
      <c r="S327" s="10">
        <f t="shared" ref="S327:T327" si="329">(((J327/60)/60)/24)+DATE(1970,1,1)</f>
        <v>43267.208333333328</v>
      </c>
      <c r="T327" s="10">
        <f t="shared" si="329"/>
        <v>43290.208333333328</v>
      </c>
    </row>
    <row r="328" spans="1:20" ht="15.75" customHeight="1" x14ac:dyDescent="0.25">
      <c r="A328" s="5">
        <v>326</v>
      </c>
      <c r="B328" s="6" t="s">
        <v>712</v>
      </c>
      <c r="C328" s="7" t="s">
        <v>713</v>
      </c>
      <c r="D328" s="5">
        <v>7200</v>
      </c>
      <c r="E328" s="5">
        <v>3326</v>
      </c>
      <c r="F328" s="5" t="s">
        <v>22</v>
      </c>
      <c r="G328" s="5">
        <v>128</v>
      </c>
      <c r="H328" s="5" t="s">
        <v>29</v>
      </c>
      <c r="I328" s="5" t="s">
        <v>30</v>
      </c>
      <c r="J328" s="5">
        <v>1451109600</v>
      </c>
      <c r="K328" s="5">
        <v>1451628000</v>
      </c>
      <c r="L328" s="5" t="b">
        <v>0</v>
      </c>
      <c r="M328" s="5" t="b">
        <v>0</v>
      </c>
      <c r="N328" s="5" t="s">
        <v>79</v>
      </c>
      <c r="O328" s="8">
        <f t="shared" si="257"/>
        <v>0.46194444444444444</v>
      </c>
      <c r="P328" s="9">
        <f t="shared" si="259"/>
        <v>25.984375</v>
      </c>
      <c r="Q328" s="5" t="str" cm="1">
        <f t="array" ref="Q328:R328">_xlfn.TEXTSPLIT(N328,"/")</f>
        <v>film &amp; video</v>
      </c>
      <c r="R328" t="str">
        <v>animation</v>
      </c>
      <c r="S328" s="10">
        <f t="shared" ref="S328:T328" si="330">(((J328/60)/60)/24)+DATE(1970,1,1)</f>
        <v>42364.25</v>
      </c>
      <c r="T328" s="10">
        <f t="shared" si="330"/>
        <v>42370.25</v>
      </c>
    </row>
    <row r="329" spans="1:20" ht="15.75" customHeight="1" x14ac:dyDescent="0.25">
      <c r="A329" s="5">
        <v>327</v>
      </c>
      <c r="B329" s="6" t="s">
        <v>714</v>
      </c>
      <c r="C329" s="7" t="s">
        <v>715</v>
      </c>
      <c r="D329" s="5">
        <v>2600</v>
      </c>
      <c r="E329" s="5">
        <v>1002</v>
      </c>
      <c r="F329" s="5" t="s">
        <v>22</v>
      </c>
      <c r="G329" s="5">
        <v>33</v>
      </c>
      <c r="H329" s="5" t="s">
        <v>29</v>
      </c>
      <c r="I329" s="5" t="s">
        <v>30</v>
      </c>
      <c r="J329" s="5">
        <v>1566968400</v>
      </c>
      <c r="K329" s="5">
        <v>1567314000</v>
      </c>
      <c r="L329" s="5" t="b">
        <v>0</v>
      </c>
      <c r="M329" s="5" t="b">
        <v>1</v>
      </c>
      <c r="N329" s="5" t="s">
        <v>41</v>
      </c>
      <c r="O329" s="8">
        <f t="shared" si="257"/>
        <v>0.38538461538461538</v>
      </c>
      <c r="P329" s="9">
        <f t="shared" si="259"/>
        <v>30.363636363636363</v>
      </c>
      <c r="Q329" s="5" t="str" cm="1">
        <f t="array" ref="Q329:R329">_xlfn.TEXTSPLIT(N329,"/")</f>
        <v>theater</v>
      </c>
      <c r="R329" t="str">
        <v>plays</v>
      </c>
      <c r="S329" s="10">
        <f t="shared" ref="S329:T329" si="331">(((J329/60)/60)/24)+DATE(1970,1,1)</f>
        <v>43705.208333333328</v>
      </c>
      <c r="T329" s="10">
        <f t="shared" si="331"/>
        <v>43709.208333333328</v>
      </c>
    </row>
    <row r="330" spans="1:20" ht="15.75" customHeight="1" x14ac:dyDescent="0.25">
      <c r="A330" s="5">
        <v>328</v>
      </c>
      <c r="B330" s="6" t="s">
        <v>716</v>
      </c>
      <c r="C330" s="7" t="s">
        <v>717</v>
      </c>
      <c r="D330" s="5">
        <v>98700</v>
      </c>
      <c r="E330" s="5">
        <v>131826</v>
      </c>
      <c r="F330" s="5" t="s">
        <v>28</v>
      </c>
      <c r="G330" s="5">
        <v>2441</v>
      </c>
      <c r="H330" s="5" t="s">
        <v>29</v>
      </c>
      <c r="I330" s="5" t="s">
        <v>30</v>
      </c>
      <c r="J330" s="5">
        <v>1543557600</v>
      </c>
      <c r="K330" s="5">
        <v>1544508000</v>
      </c>
      <c r="L330" s="5" t="b">
        <v>0</v>
      </c>
      <c r="M330" s="5" t="b">
        <v>0</v>
      </c>
      <c r="N330" s="5" t="s">
        <v>31</v>
      </c>
      <c r="O330" s="8">
        <f t="shared" si="257"/>
        <v>1.3356231003039514</v>
      </c>
      <c r="P330" s="9">
        <f t="shared" si="259"/>
        <v>54.004916018025398</v>
      </c>
      <c r="Q330" s="5" t="str" cm="1">
        <f t="array" ref="Q330:R330">_xlfn.TEXTSPLIT(N330,"/")</f>
        <v>music</v>
      </c>
      <c r="R330" t="str">
        <v>rock</v>
      </c>
      <c r="S330" s="10">
        <f t="shared" ref="S330:T330" si="332">(((J330/60)/60)/24)+DATE(1970,1,1)</f>
        <v>43434.25</v>
      </c>
      <c r="T330" s="10">
        <f t="shared" si="332"/>
        <v>43445.25</v>
      </c>
    </row>
    <row r="331" spans="1:20" ht="15.75" customHeight="1" x14ac:dyDescent="0.25">
      <c r="A331" s="5">
        <v>329</v>
      </c>
      <c r="B331" s="6" t="s">
        <v>718</v>
      </c>
      <c r="C331" s="7" t="s">
        <v>719</v>
      </c>
      <c r="D331" s="5">
        <v>93800</v>
      </c>
      <c r="E331" s="5">
        <v>21477</v>
      </c>
      <c r="F331" s="5" t="s">
        <v>55</v>
      </c>
      <c r="G331" s="5">
        <v>211</v>
      </c>
      <c r="H331" s="5" t="s">
        <v>29</v>
      </c>
      <c r="I331" s="5" t="s">
        <v>30</v>
      </c>
      <c r="J331" s="5">
        <v>1481522400</v>
      </c>
      <c r="K331" s="5">
        <v>1482472800</v>
      </c>
      <c r="L331" s="5" t="b">
        <v>0</v>
      </c>
      <c r="M331" s="5" t="b">
        <v>0</v>
      </c>
      <c r="N331" s="5" t="s">
        <v>97</v>
      </c>
      <c r="O331" s="8">
        <f t="shared" si="257"/>
        <v>0.22896588486140726</v>
      </c>
      <c r="P331" s="9">
        <f t="shared" si="259"/>
        <v>101.78672985781991</v>
      </c>
      <c r="Q331" s="5" t="str" cm="1">
        <f t="array" ref="Q331:R331">_xlfn.TEXTSPLIT(N331,"/")</f>
        <v>games</v>
      </c>
      <c r="R331" t="str">
        <v>video games</v>
      </c>
      <c r="S331" s="10">
        <f t="shared" ref="S331:T331" si="333">(((J331/60)/60)/24)+DATE(1970,1,1)</f>
        <v>42716.25</v>
      </c>
      <c r="T331" s="10">
        <f t="shared" si="333"/>
        <v>42727.25</v>
      </c>
    </row>
    <row r="332" spans="1:20" ht="15.75" customHeight="1" x14ac:dyDescent="0.25">
      <c r="A332" s="5">
        <v>330</v>
      </c>
      <c r="B332" s="6" t="s">
        <v>720</v>
      </c>
      <c r="C332" s="7" t="s">
        <v>721</v>
      </c>
      <c r="D332" s="5">
        <v>33700</v>
      </c>
      <c r="E332" s="5">
        <v>62330</v>
      </c>
      <c r="F332" s="5" t="s">
        <v>28</v>
      </c>
      <c r="G332" s="5">
        <v>1385</v>
      </c>
      <c r="H332" s="5" t="s">
        <v>48</v>
      </c>
      <c r="I332" s="5" t="s">
        <v>49</v>
      </c>
      <c r="J332" s="5">
        <v>1512712800</v>
      </c>
      <c r="K332" s="5">
        <v>1512799200</v>
      </c>
      <c r="L332" s="5" t="b">
        <v>0</v>
      </c>
      <c r="M332" s="5" t="b">
        <v>0</v>
      </c>
      <c r="N332" s="5" t="s">
        <v>50</v>
      </c>
      <c r="O332" s="8">
        <f t="shared" si="257"/>
        <v>1.8495548961424333</v>
      </c>
      <c r="P332" s="9">
        <f t="shared" si="259"/>
        <v>45.003610108303249</v>
      </c>
      <c r="Q332" s="5" t="str" cm="1">
        <f t="array" ref="Q332:R332">_xlfn.TEXTSPLIT(N332,"/")</f>
        <v>film &amp; video</v>
      </c>
      <c r="R332" t="str">
        <v>documentary</v>
      </c>
      <c r="S332" s="10">
        <f t="shared" ref="S332:T332" si="334">(((J332/60)/60)/24)+DATE(1970,1,1)</f>
        <v>43077.25</v>
      </c>
      <c r="T332" s="10">
        <f t="shared" si="334"/>
        <v>43078.25</v>
      </c>
    </row>
    <row r="333" spans="1:20" ht="15.75" customHeight="1" x14ac:dyDescent="0.25">
      <c r="A333" s="5">
        <v>331</v>
      </c>
      <c r="B333" s="6" t="s">
        <v>722</v>
      </c>
      <c r="C333" s="7" t="s">
        <v>723</v>
      </c>
      <c r="D333" s="5">
        <v>3300</v>
      </c>
      <c r="E333" s="5">
        <v>14643</v>
      </c>
      <c r="F333" s="5" t="s">
        <v>28</v>
      </c>
      <c r="G333" s="5">
        <v>190</v>
      </c>
      <c r="H333" s="5" t="s">
        <v>29</v>
      </c>
      <c r="I333" s="5" t="s">
        <v>30</v>
      </c>
      <c r="J333" s="5">
        <v>1324274400</v>
      </c>
      <c r="K333" s="5">
        <v>1324360800</v>
      </c>
      <c r="L333" s="5" t="b">
        <v>0</v>
      </c>
      <c r="M333" s="5" t="b">
        <v>0</v>
      </c>
      <c r="N333" s="5" t="s">
        <v>25</v>
      </c>
      <c r="O333" s="8">
        <f t="shared" si="257"/>
        <v>4.4372727272727275</v>
      </c>
      <c r="P333" s="9">
        <f t="shared" si="259"/>
        <v>77.068421052631578</v>
      </c>
      <c r="Q333" s="5" t="str" cm="1">
        <f t="array" ref="Q333:R333">_xlfn.TEXTSPLIT(N333,"/")</f>
        <v>food</v>
      </c>
      <c r="R333" t="str">
        <v>food trucks</v>
      </c>
      <c r="S333" s="10">
        <f t="shared" ref="S333:T333" si="335">(((J333/60)/60)/24)+DATE(1970,1,1)</f>
        <v>40896.25</v>
      </c>
      <c r="T333" s="10">
        <f t="shared" si="335"/>
        <v>40897.25</v>
      </c>
    </row>
    <row r="334" spans="1:20" ht="15.75" customHeight="1" x14ac:dyDescent="0.25">
      <c r="A334" s="5">
        <v>332</v>
      </c>
      <c r="B334" s="6" t="s">
        <v>724</v>
      </c>
      <c r="C334" s="7" t="s">
        <v>725</v>
      </c>
      <c r="D334" s="5">
        <v>20700</v>
      </c>
      <c r="E334" s="5">
        <v>41396</v>
      </c>
      <c r="F334" s="5" t="s">
        <v>28</v>
      </c>
      <c r="G334" s="5">
        <v>470</v>
      </c>
      <c r="H334" s="5" t="s">
        <v>29</v>
      </c>
      <c r="I334" s="5" t="s">
        <v>30</v>
      </c>
      <c r="J334" s="5">
        <v>1364446800</v>
      </c>
      <c r="K334" s="5">
        <v>1364533200</v>
      </c>
      <c r="L334" s="5" t="b">
        <v>0</v>
      </c>
      <c r="M334" s="5" t="b">
        <v>0</v>
      </c>
      <c r="N334" s="5" t="s">
        <v>73</v>
      </c>
      <c r="O334" s="8">
        <f t="shared" si="257"/>
        <v>1.999806763285024</v>
      </c>
      <c r="P334" s="9">
        <f t="shared" si="259"/>
        <v>88.076595744680844</v>
      </c>
      <c r="Q334" s="5" t="str" cm="1">
        <f t="array" ref="Q334:R334">_xlfn.TEXTSPLIT(N334,"/")</f>
        <v>technology</v>
      </c>
      <c r="R334" t="str">
        <v>wearables</v>
      </c>
      <c r="S334" s="10">
        <f t="shared" ref="S334:T334" si="336">(((J334/60)/60)/24)+DATE(1970,1,1)</f>
        <v>41361.208333333336</v>
      </c>
      <c r="T334" s="10">
        <f t="shared" si="336"/>
        <v>41362.208333333336</v>
      </c>
    </row>
    <row r="335" spans="1:20" ht="15.75" customHeight="1" x14ac:dyDescent="0.25">
      <c r="A335" s="5">
        <v>333</v>
      </c>
      <c r="B335" s="6" t="s">
        <v>726</v>
      </c>
      <c r="C335" s="7" t="s">
        <v>727</v>
      </c>
      <c r="D335" s="5">
        <v>9600</v>
      </c>
      <c r="E335" s="5">
        <v>11900</v>
      </c>
      <c r="F335" s="5" t="s">
        <v>28</v>
      </c>
      <c r="G335" s="5">
        <v>253</v>
      </c>
      <c r="H335" s="5" t="s">
        <v>29</v>
      </c>
      <c r="I335" s="5" t="s">
        <v>30</v>
      </c>
      <c r="J335" s="5">
        <v>1542693600</v>
      </c>
      <c r="K335" s="5">
        <v>1545112800</v>
      </c>
      <c r="L335" s="5" t="b">
        <v>0</v>
      </c>
      <c r="M335" s="5" t="b">
        <v>0</v>
      </c>
      <c r="N335" s="5" t="s">
        <v>41</v>
      </c>
      <c r="O335" s="8">
        <f t="shared" si="257"/>
        <v>1.2395833333333333</v>
      </c>
      <c r="P335" s="9">
        <f t="shared" si="259"/>
        <v>47.035573122529641</v>
      </c>
      <c r="Q335" s="5" t="str" cm="1">
        <f t="array" ref="Q335:R335">_xlfn.TEXTSPLIT(N335,"/")</f>
        <v>theater</v>
      </c>
      <c r="R335" t="str">
        <v>plays</v>
      </c>
      <c r="S335" s="10">
        <f t="shared" ref="S335:T335" si="337">(((J335/60)/60)/24)+DATE(1970,1,1)</f>
        <v>43424.25</v>
      </c>
      <c r="T335" s="10">
        <f t="shared" si="337"/>
        <v>43452.25</v>
      </c>
    </row>
    <row r="336" spans="1:20" ht="15.75" customHeight="1" x14ac:dyDescent="0.25">
      <c r="A336" s="5">
        <v>334</v>
      </c>
      <c r="B336" s="6" t="s">
        <v>728</v>
      </c>
      <c r="C336" s="7" t="s">
        <v>729</v>
      </c>
      <c r="D336" s="5">
        <v>66200</v>
      </c>
      <c r="E336" s="5">
        <v>123538</v>
      </c>
      <c r="F336" s="5" t="s">
        <v>28</v>
      </c>
      <c r="G336" s="5">
        <v>1113</v>
      </c>
      <c r="H336" s="5" t="s">
        <v>29</v>
      </c>
      <c r="I336" s="5" t="s">
        <v>30</v>
      </c>
      <c r="J336" s="5">
        <v>1515564000</v>
      </c>
      <c r="K336" s="5">
        <v>1516168800</v>
      </c>
      <c r="L336" s="5" t="b">
        <v>0</v>
      </c>
      <c r="M336" s="5" t="b">
        <v>0</v>
      </c>
      <c r="N336" s="5" t="s">
        <v>31</v>
      </c>
      <c r="O336" s="8">
        <f t="shared" si="257"/>
        <v>1.8661329305135952</v>
      </c>
      <c r="P336" s="9">
        <f t="shared" si="259"/>
        <v>110.99550763701707</v>
      </c>
      <c r="Q336" s="5" t="str" cm="1">
        <f t="array" ref="Q336:R336">_xlfn.TEXTSPLIT(N336,"/")</f>
        <v>music</v>
      </c>
      <c r="R336" t="str">
        <v>rock</v>
      </c>
      <c r="S336" s="10">
        <f t="shared" ref="S336:T336" si="338">(((J336/60)/60)/24)+DATE(1970,1,1)</f>
        <v>43110.25</v>
      </c>
      <c r="T336" s="10">
        <f t="shared" si="338"/>
        <v>43117.25</v>
      </c>
    </row>
    <row r="337" spans="1:20" ht="15.75" customHeight="1" x14ac:dyDescent="0.25">
      <c r="A337" s="5">
        <v>335</v>
      </c>
      <c r="B337" s="6" t="s">
        <v>730</v>
      </c>
      <c r="C337" s="7" t="s">
        <v>731</v>
      </c>
      <c r="D337" s="5">
        <v>173800</v>
      </c>
      <c r="E337" s="5">
        <v>198628</v>
      </c>
      <c r="F337" s="5" t="s">
        <v>28</v>
      </c>
      <c r="G337" s="5">
        <v>2283</v>
      </c>
      <c r="H337" s="5" t="s">
        <v>29</v>
      </c>
      <c r="I337" s="5" t="s">
        <v>30</v>
      </c>
      <c r="J337" s="5">
        <v>1573797600</v>
      </c>
      <c r="K337" s="5">
        <v>1574920800</v>
      </c>
      <c r="L337" s="5" t="b">
        <v>0</v>
      </c>
      <c r="M337" s="5" t="b">
        <v>0</v>
      </c>
      <c r="N337" s="5" t="s">
        <v>31</v>
      </c>
      <c r="O337" s="8">
        <f t="shared" si="257"/>
        <v>1.1428538550057536</v>
      </c>
      <c r="P337" s="9">
        <f t="shared" si="259"/>
        <v>87.003066141042481</v>
      </c>
      <c r="Q337" s="5" t="str" cm="1">
        <f t="array" ref="Q337:R337">_xlfn.TEXTSPLIT(N337,"/")</f>
        <v>music</v>
      </c>
      <c r="R337" t="str">
        <v>rock</v>
      </c>
      <c r="S337" s="10">
        <f t="shared" ref="S337:T337" si="339">(((J337/60)/60)/24)+DATE(1970,1,1)</f>
        <v>43784.25</v>
      </c>
      <c r="T337" s="10">
        <f t="shared" si="339"/>
        <v>43797.25</v>
      </c>
    </row>
    <row r="338" spans="1:20" ht="15.75" customHeight="1" x14ac:dyDescent="0.25">
      <c r="A338" s="5">
        <v>336</v>
      </c>
      <c r="B338" s="6" t="s">
        <v>732</v>
      </c>
      <c r="C338" s="7" t="s">
        <v>733</v>
      </c>
      <c r="D338" s="5">
        <v>70700</v>
      </c>
      <c r="E338" s="5">
        <v>68602</v>
      </c>
      <c r="F338" s="5" t="s">
        <v>22</v>
      </c>
      <c r="G338" s="5">
        <v>1072</v>
      </c>
      <c r="H338" s="5" t="s">
        <v>29</v>
      </c>
      <c r="I338" s="5" t="s">
        <v>30</v>
      </c>
      <c r="J338" s="5">
        <v>1292392800</v>
      </c>
      <c r="K338" s="5">
        <v>1292479200</v>
      </c>
      <c r="L338" s="5" t="b">
        <v>0</v>
      </c>
      <c r="M338" s="5" t="b">
        <v>1</v>
      </c>
      <c r="N338" s="5" t="s">
        <v>31</v>
      </c>
      <c r="O338" s="8">
        <f t="shared" si="257"/>
        <v>0.97032531824611035</v>
      </c>
      <c r="P338" s="9">
        <f t="shared" si="259"/>
        <v>63.994402985074629</v>
      </c>
      <c r="Q338" s="5" t="str" cm="1">
        <f t="array" ref="Q338:R338">_xlfn.TEXTSPLIT(N338,"/")</f>
        <v>music</v>
      </c>
      <c r="R338" t="str">
        <v>rock</v>
      </c>
      <c r="S338" s="10">
        <f t="shared" ref="S338:T338" si="340">(((J338/60)/60)/24)+DATE(1970,1,1)</f>
        <v>40527.25</v>
      </c>
      <c r="T338" s="10">
        <f t="shared" si="340"/>
        <v>40528.25</v>
      </c>
    </row>
    <row r="339" spans="1:20" ht="15.75" customHeight="1" x14ac:dyDescent="0.25">
      <c r="A339" s="5">
        <v>337</v>
      </c>
      <c r="B339" s="6" t="s">
        <v>734</v>
      </c>
      <c r="C339" s="7" t="s">
        <v>735</v>
      </c>
      <c r="D339" s="5">
        <v>94500</v>
      </c>
      <c r="E339" s="5">
        <v>116064</v>
      </c>
      <c r="F339" s="5" t="s">
        <v>28</v>
      </c>
      <c r="G339" s="5">
        <v>1095</v>
      </c>
      <c r="H339" s="5" t="s">
        <v>29</v>
      </c>
      <c r="I339" s="5" t="s">
        <v>30</v>
      </c>
      <c r="J339" s="5">
        <v>1573452000</v>
      </c>
      <c r="K339" s="5">
        <v>1573538400</v>
      </c>
      <c r="L339" s="5" t="b">
        <v>0</v>
      </c>
      <c r="M339" s="5" t="b">
        <v>0</v>
      </c>
      <c r="N339" s="5" t="s">
        <v>41</v>
      </c>
      <c r="O339" s="8">
        <f t="shared" si="257"/>
        <v>1.2281904761904763</v>
      </c>
      <c r="P339" s="9">
        <f t="shared" si="259"/>
        <v>105.9945205479452</v>
      </c>
      <c r="Q339" s="5" t="str" cm="1">
        <f t="array" ref="Q339:R339">_xlfn.TEXTSPLIT(N339,"/")</f>
        <v>theater</v>
      </c>
      <c r="R339" t="str">
        <v>plays</v>
      </c>
      <c r="S339" s="10">
        <f t="shared" ref="S339:T339" si="341">(((J339/60)/60)/24)+DATE(1970,1,1)</f>
        <v>43780.25</v>
      </c>
      <c r="T339" s="10">
        <f t="shared" si="341"/>
        <v>43781.25</v>
      </c>
    </row>
    <row r="340" spans="1:20" ht="15.75" customHeight="1" x14ac:dyDescent="0.25">
      <c r="A340" s="5">
        <v>338</v>
      </c>
      <c r="B340" s="6" t="s">
        <v>736</v>
      </c>
      <c r="C340" s="7" t="s">
        <v>737</v>
      </c>
      <c r="D340" s="5">
        <v>69800</v>
      </c>
      <c r="E340" s="5">
        <v>125042</v>
      </c>
      <c r="F340" s="5" t="s">
        <v>28</v>
      </c>
      <c r="G340" s="5">
        <v>1690</v>
      </c>
      <c r="H340" s="5" t="s">
        <v>29</v>
      </c>
      <c r="I340" s="5" t="s">
        <v>30</v>
      </c>
      <c r="J340" s="5">
        <v>1317790800</v>
      </c>
      <c r="K340" s="5">
        <v>1320382800</v>
      </c>
      <c r="L340" s="5" t="b">
        <v>0</v>
      </c>
      <c r="M340" s="5" t="b">
        <v>0</v>
      </c>
      <c r="N340" s="5" t="s">
        <v>41</v>
      </c>
      <c r="O340" s="8">
        <f t="shared" si="257"/>
        <v>1.7914326647564469</v>
      </c>
      <c r="P340" s="9">
        <f t="shared" si="259"/>
        <v>73.989349112426041</v>
      </c>
      <c r="Q340" s="5" t="str" cm="1">
        <f t="array" ref="Q340:R340">_xlfn.TEXTSPLIT(N340,"/")</f>
        <v>theater</v>
      </c>
      <c r="R340" t="str">
        <v>plays</v>
      </c>
      <c r="S340" s="10">
        <f t="shared" ref="S340:T340" si="342">(((J340/60)/60)/24)+DATE(1970,1,1)</f>
        <v>40821.208333333336</v>
      </c>
      <c r="T340" s="10">
        <f t="shared" si="342"/>
        <v>40851.208333333336</v>
      </c>
    </row>
    <row r="341" spans="1:20" ht="15.75" customHeight="1" x14ac:dyDescent="0.25">
      <c r="A341" s="5">
        <v>339</v>
      </c>
      <c r="B341" s="6" t="s">
        <v>738</v>
      </c>
      <c r="C341" s="7" t="s">
        <v>739</v>
      </c>
      <c r="D341" s="5">
        <v>136300</v>
      </c>
      <c r="E341" s="5">
        <v>108974</v>
      </c>
      <c r="F341" s="5" t="s">
        <v>82</v>
      </c>
      <c r="G341" s="5">
        <v>1297</v>
      </c>
      <c r="H341" s="5" t="s">
        <v>23</v>
      </c>
      <c r="I341" s="5" t="s">
        <v>24</v>
      </c>
      <c r="J341" s="5">
        <v>1501650000</v>
      </c>
      <c r="K341" s="5">
        <v>1502859600</v>
      </c>
      <c r="L341" s="5" t="b">
        <v>0</v>
      </c>
      <c r="M341" s="5" t="b">
        <v>0</v>
      </c>
      <c r="N341" s="5" t="s">
        <v>41</v>
      </c>
      <c r="O341" s="8">
        <f t="shared" si="257"/>
        <v>0.79951577402787966</v>
      </c>
      <c r="P341" s="9">
        <f t="shared" si="259"/>
        <v>84.02004626060139</v>
      </c>
      <c r="Q341" s="5" t="str" cm="1">
        <f t="array" ref="Q341:R341">_xlfn.TEXTSPLIT(N341,"/")</f>
        <v>theater</v>
      </c>
      <c r="R341" t="str">
        <v>plays</v>
      </c>
      <c r="S341" s="10">
        <f t="shared" ref="S341:T341" si="343">(((J341/60)/60)/24)+DATE(1970,1,1)</f>
        <v>42949.208333333328</v>
      </c>
      <c r="T341" s="10">
        <f t="shared" si="343"/>
        <v>42963.208333333328</v>
      </c>
    </row>
    <row r="342" spans="1:20" ht="15.75" customHeight="1" x14ac:dyDescent="0.25">
      <c r="A342" s="5">
        <v>340</v>
      </c>
      <c r="B342" s="6" t="s">
        <v>740</v>
      </c>
      <c r="C342" s="7" t="s">
        <v>741</v>
      </c>
      <c r="D342" s="5">
        <v>37100</v>
      </c>
      <c r="E342" s="5">
        <v>34964</v>
      </c>
      <c r="F342" s="5" t="s">
        <v>22</v>
      </c>
      <c r="G342" s="5">
        <v>393</v>
      </c>
      <c r="H342" s="5" t="s">
        <v>29</v>
      </c>
      <c r="I342" s="5" t="s">
        <v>30</v>
      </c>
      <c r="J342" s="5">
        <v>1323669600</v>
      </c>
      <c r="K342" s="5">
        <v>1323756000</v>
      </c>
      <c r="L342" s="5" t="b">
        <v>0</v>
      </c>
      <c r="M342" s="5" t="b">
        <v>0</v>
      </c>
      <c r="N342" s="5" t="s">
        <v>130</v>
      </c>
      <c r="O342" s="8">
        <f t="shared" si="257"/>
        <v>0.94242587601078165</v>
      </c>
      <c r="P342" s="9">
        <f t="shared" si="259"/>
        <v>88.966921119592882</v>
      </c>
      <c r="Q342" s="5" t="str" cm="1">
        <f t="array" ref="Q342:R342">_xlfn.TEXTSPLIT(N342,"/")</f>
        <v>photography</v>
      </c>
      <c r="R342" t="str">
        <v>photography books</v>
      </c>
      <c r="S342" s="10">
        <f t="shared" ref="S342:T342" si="344">(((J342/60)/60)/24)+DATE(1970,1,1)</f>
        <v>40889.25</v>
      </c>
      <c r="T342" s="10">
        <f t="shared" si="344"/>
        <v>40890.25</v>
      </c>
    </row>
    <row r="343" spans="1:20" ht="15.75" customHeight="1" x14ac:dyDescent="0.25">
      <c r="A343" s="5">
        <v>341</v>
      </c>
      <c r="B343" s="6" t="s">
        <v>742</v>
      </c>
      <c r="C343" s="7" t="s">
        <v>743</v>
      </c>
      <c r="D343" s="5">
        <v>114300</v>
      </c>
      <c r="E343" s="5">
        <v>96777</v>
      </c>
      <c r="F343" s="5" t="s">
        <v>22</v>
      </c>
      <c r="G343" s="5">
        <v>1257</v>
      </c>
      <c r="H343" s="5" t="s">
        <v>29</v>
      </c>
      <c r="I343" s="5" t="s">
        <v>30</v>
      </c>
      <c r="J343" s="5">
        <v>1440738000</v>
      </c>
      <c r="K343" s="5">
        <v>1441342800</v>
      </c>
      <c r="L343" s="5" t="b">
        <v>0</v>
      </c>
      <c r="M343" s="5" t="b">
        <v>0</v>
      </c>
      <c r="N343" s="5" t="s">
        <v>68</v>
      </c>
      <c r="O343" s="8">
        <f t="shared" si="257"/>
        <v>0.84669291338582675</v>
      </c>
      <c r="P343" s="9">
        <f t="shared" si="259"/>
        <v>76.990453460620529</v>
      </c>
      <c r="Q343" s="5" t="str" cm="1">
        <f t="array" ref="Q343:R343">_xlfn.TEXTSPLIT(N343,"/")</f>
        <v>music</v>
      </c>
      <c r="R343" t="str">
        <v>indie rock</v>
      </c>
      <c r="S343" s="10">
        <f t="shared" ref="S343:T343" si="345">(((J343/60)/60)/24)+DATE(1970,1,1)</f>
        <v>42244.208333333328</v>
      </c>
      <c r="T343" s="10">
        <f t="shared" si="345"/>
        <v>42251.208333333328</v>
      </c>
    </row>
    <row r="344" spans="1:20" ht="15.75" customHeight="1" x14ac:dyDescent="0.25">
      <c r="A344" s="5">
        <v>342</v>
      </c>
      <c r="B344" s="6" t="s">
        <v>744</v>
      </c>
      <c r="C344" s="7" t="s">
        <v>745</v>
      </c>
      <c r="D344" s="5">
        <v>47900</v>
      </c>
      <c r="E344" s="5">
        <v>31864</v>
      </c>
      <c r="F344" s="5" t="s">
        <v>22</v>
      </c>
      <c r="G344" s="5">
        <v>328</v>
      </c>
      <c r="H344" s="5" t="s">
        <v>29</v>
      </c>
      <c r="I344" s="5" t="s">
        <v>30</v>
      </c>
      <c r="J344" s="5">
        <v>1374296400</v>
      </c>
      <c r="K344" s="5">
        <v>1375333200</v>
      </c>
      <c r="L344" s="5" t="b">
        <v>0</v>
      </c>
      <c r="M344" s="5" t="b">
        <v>0</v>
      </c>
      <c r="N344" s="5" t="s">
        <v>41</v>
      </c>
      <c r="O344" s="8">
        <f t="shared" si="257"/>
        <v>0.66521920668058454</v>
      </c>
      <c r="P344" s="9">
        <f t="shared" si="259"/>
        <v>97.146341463414629</v>
      </c>
      <c r="Q344" s="5" t="str" cm="1">
        <f t="array" ref="Q344:R344">_xlfn.TEXTSPLIT(N344,"/")</f>
        <v>theater</v>
      </c>
      <c r="R344" t="str">
        <v>plays</v>
      </c>
      <c r="S344" s="10">
        <f t="shared" ref="S344:T344" si="346">(((J344/60)/60)/24)+DATE(1970,1,1)</f>
        <v>41475.208333333336</v>
      </c>
      <c r="T344" s="10">
        <f t="shared" si="346"/>
        <v>41487.208333333336</v>
      </c>
    </row>
    <row r="345" spans="1:20" ht="15.75" customHeight="1" x14ac:dyDescent="0.25">
      <c r="A345" s="5">
        <v>343</v>
      </c>
      <c r="B345" s="6" t="s">
        <v>746</v>
      </c>
      <c r="C345" s="7" t="s">
        <v>747</v>
      </c>
      <c r="D345" s="5">
        <v>9000</v>
      </c>
      <c r="E345" s="5">
        <v>4853</v>
      </c>
      <c r="F345" s="5" t="s">
        <v>22</v>
      </c>
      <c r="G345" s="5">
        <v>147</v>
      </c>
      <c r="H345" s="5" t="s">
        <v>29</v>
      </c>
      <c r="I345" s="5" t="s">
        <v>30</v>
      </c>
      <c r="J345" s="5">
        <v>1384840800</v>
      </c>
      <c r="K345" s="5">
        <v>1389420000</v>
      </c>
      <c r="L345" s="5" t="b">
        <v>0</v>
      </c>
      <c r="M345" s="5" t="b">
        <v>0</v>
      </c>
      <c r="N345" s="5" t="s">
        <v>41</v>
      </c>
      <c r="O345" s="8">
        <f t="shared" si="257"/>
        <v>0.53922222222222227</v>
      </c>
      <c r="P345" s="9">
        <f t="shared" si="259"/>
        <v>33.013605442176868</v>
      </c>
      <c r="Q345" s="5" t="str" cm="1">
        <f t="array" ref="Q345:R345">_xlfn.TEXTSPLIT(N345,"/")</f>
        <v>theater</v>
      </c>
      <c r="R345" t="str">
        <v>plays</v>
      </c>
      <c r="S345" s="10">
        <f t="shared" ref="S345:T345" si="347">(((J345/60)/60)/24)+DATE(1970,1,1)</f>
        <v>41597.25</v>
      </c>
      <c r="T345" s="10">
        <f t="shared" si="347"/>
        <v>41650.25</v>
      </c>
    </row>
    <row r="346" spans="1:20" ht="15.75" customHeight="1" x14ac:dyDescent="0.25">
      <c r="A346" s="5">
        <v>344</v>
      </c>
      <c r="B346" s="6" t="s">
        <v>748</v>
      </c>
      <c r="C346" s="7" t="s">
        <v>749</v>
      </c>
      <c r="D346" s="5">
        <v>197600</v>
      </c>
      <c r="E346" s="5">
        <v>82959</v>
      </c>
      <c r="F346" s="5" t="s">
        <v>22</v>
      </c>
      <c r="G346" s="5">
        <v>830</v>
      </c>
      <c r="H346" s="5" t="s">
        <v>29</v>
      </c>
      <c r="I346" s="5" t="s">
        <v>30</v>
      </c>
      <c r="J346" s="5">
        <v>1516600800</v>
      </c>
      <c r="K346" s="5">
        <v>1520056800</v>
      </c>
      <c r="L346" s="5" t="b">
        <v>0</v>
      </c>
      <c r="M346" s="5" t="b">
        <v>0</v>
      </c>
      <c r="N346" s="5" t="s">
        <v>97</v>
      </c>
      <c r="O346" s="8">
        <f t="shared" si="257"/>
        <v>0.41983299595141699</v>
      </c>
      <c r="P346" s="9">
        <f t="shared" si="259"/>
        <v>99.950602409638549</v>
      </c>
      <c r="Q346" s="5" t="str" cm="1">
        <f t="array" ref="Q346:R346">_xlfn.TEXTSPLIT(N346,"/")</f>
        <v>games</v>
      </c>
      <c r="R346" t="str">
        <v>video games</v>
      </c>
      <c r="S346" s="10">
        <f t="shared" ref="S346:T346" si="348">(((J346/60)/60)/24)+DATE(1970,1,1)</f>
        <v>43122.25</v>
      </c>
      <c r="T346" s="10">
        <f t="shared" si="348"/>
        <v>43162.25</v>
      </c>
    </row>
    <row r="347" spans="1:20" ht="15.75" customHeight="1" x14ac:dyDescent="0.25">
      <c r="A347" s="5">
        <v>345</v>
      </c>
      <c r="B347" s="6" t="s">
        <v>750</v>
      </c>
      <c r="C347" s="7" t="s">
        <v>751</v>
      </c>
      <c r="D347" s="5">
        <v>157600</v>
      </c>
      <c r="E347" s="5">
        <v>23159</v>
      </c>
      <c r="F347" s="5" t="s">
        <v>22</v>
      </c>
      <c r="G347" s="5">
        <v>331</v>
      </c>
      <c r="H347" s="5" t="s">
        <v>48</v>
      </c>
      <c r="I347" s="5" t="s">
        <v>49</v>
      </c>
      <c r="J347" s="5">
        <v>1436418000</v>
      </c>
      <c r="K347" s="5">
        <v>1436504400</v>
      </c>
      <c r="L347" s="5" t="b">
        <v>0</v>
      </c>
      <c r="M347" s="5" t="b">
        <v>0</v>
      </c>
      <c r="N347" s="5" t="s">
        <v>61</v>
      </c>
      <c r="O347" s="8">
        <f t="shared" si="257"/>
        <v>0.14694796954314721</v>
      </c>
      <c r="P347" s="9">
        <f t="shared" si="259"/>
        <v>69.966767371601208</v>
      </c>
      <c r="Q347" s="5" t="str" cm="1">
        <f t="array" ref="Q347:R347">_xlfn.TEXTSPLIT(N347,"/")</f>
        <v>film &amp; video</v>
      </c>
      <c r="R347" t="str">
        <v>drama</v>
      </c>
      <c r="S347" s="10">
        <f t="shared" ref="S347:T347" si="349">(((J347/60)/60)/24)+DATE(1970,1,1)</f>
        <v>42194.208333333328</v>
      </c>
      <c r="T347" s="10">
        <f t="shared" si="349"/>
        <v>42195.208333333328</v>
      </c>
    </row>
    <row r="348" spans="1:20" ht="15.75" customHeight="1" x14ac:dyDescent="0.25">
      <c r="A348" s="5">
        <v>346</v>
      </c>
      <c r="B348" s="6" t="s">
        <v>752</v>
      </c>
      <c r="C348" s="7" t="s">
        <v>753</v>
      </c>
      <c r="D348" s="5">
        <v>8000</v>
      </c>
      <c r="E348" s="5">
        <v>2758</v>
      </c>
      <c r="F348" s="5" t="s">
        <v>22</v>
      </c>
      <c r="G348" s="5">
        <v>25</v>
      </c>
      <c r="H348" s="5" t="s">
        <v>29</v>
      </c>
      <c r="I348" s="5" t="s">
        <v>30</v>
      </c>
      <c r="J348" s="5">
        <v>1503550800</v>
      </c>
      <c r="K348" s="5">
        <v>1508302800</v>
      </c>
      <c r="L348" s="5" t="b">
        <v>0</v>
      </c>
      <c r="M348" s="5" t="b">
        <v>1</v>
      </c>
      <c r="N348" s="5" t="s">
        <v>68</v>
      </c>
      <c r="O348" s="8">
        <f t="shared" si="257"/>
        <v>0.34475</v>
      </c>
      <c r="P348" s="9">
        <f t="shared" si="259"/>
        <v>110.32</v>
      </c>
      <c r="Q348" s="5" t="str" cm="1">
        <f t="array" ref="Q348:R348">_xlfn.TEXTSPLIT(N348,"/")</f>
        <v>music</v>
      </c>
      <c r="R348" t="str">
        <v>indie rock</v>
      </c>
      <c r="S348" s="10">
        <f t="shared" ref="S348:T348" si="350">(((J348/60)/60)/24)+DATE(1970,1,1)</f>
        <v>42971.208333333328</v>
      </c>
      <c r="T348" s="10">
        <f t="shared" si="350"/>
        <v>43026.208333333328</v>
      </c>
    </row>
    <row r="349" spans="1:20" ht="15.75" customHeight="1" x14ac:dyDescent="0.25">
      <c r="A349" s="5">
        <v>347</v>
      </c>
      <c r="B349" s="6" t="s">
        <v>754</v>
      </c>
      <c r="C349" s="7" t="s">
        <v>755</v>
      </c>
      <c r="D349" s="5">
        <v>900</v>
      </c>
      <c r="E349" s="5">
        <v>12607</v>
      </c>
      <c r="F349" s="5" t="s">
        <v>28</v>
      </c>
      <c r="G349" s="5">
        <v>191</v>
      </c>
      <c r="H349" s="5" t="s">
        <v>29</v>
      </c>
      <c r="I349" s="5" t="s">
        <v>30</v>
      </c>
      <c r="J349" s="5">
        <v>1423634400</v>
      </c>
      <c r="K349" s="5">
        <v>1425708000</v>
      </c>
      <c r="L349" s="5" t="b">
        <v>0</v>
      </c>
      <c r="M349" s="5" t="b">
        <v>0</v>
      </c>
      <c r="N349" s="5" t="s">
        <v>36</v>
      </c>
      <c r="O349" s="8">
        <f t="shared" si="257"/>
        <v>14.007777777777777</v>
      </c>
      <c r="P349" s="9">
        <f t="shared" si="259"/>
        <v>66.005235602094245</v>
      </c>
      <c r="Q349" s="5" t="str" cm="1">
        <f t="array" ref="Q349:R349">_xlfn.TEXTSPLIT(N349,"/")</f>
        <v>technology</v>
      </c>
      <c r="R349" t="str">
        <v>web</v>
      </c>
      <c r="S349" s="10">
        <f t="shared" ref="S349:T349" si="351">(((J349/60)/60)/24)+DATE(1970,1,1)</f>
        <v>42046.25</v>
      </c>
      <c r="T349" s="10">
        <f t="shared" si="351"/>
        <v>42070.25</v>
      </c>
    </row>
    <row r="350" spans="1:20" ht="15.75" customHeight="1" x14ac:dyDescent="0.25">
      <c r="A350" s="5">
        <v>348</v>
      </c>
      <c r="B350" s="6" t="s">
        <v>756</v>
      </c>
      <c r="C350" s="7" t="s">
        <v>757</v>
      </c>
      <c r="D350" s="5">
        <v>199000</v>
      </c>
      <c r="E350" s="5">
        <v>142823</v>
      </c>
      <c r="F350" s="5" t="s">
        <v>22</v>
      </c>
      <c r="G350" s="5">
        <v>3483</v>
      </c>
      <c r="H350" s="5" t="s">
        <v>29</v>
      </c>
      <c r="I350" s="5" t="s">
        <v>30</v>
      </c>
      <c r="J350" s="5">
        <v>1487224800</v>
      </c>
      <c r="K350" s="5">
        <v>1488348000</v>
      </c>
      <c r="L350" s="5" t="b">
        <v>0</v>
      </c>
      <c r="M350" s="5" t="b">
        <v>0</v>
      </c>
      <c r="N350" s="5" t="s">
        <v>25</v>
      </c>
      <c r="O350" s="8">
        <f t="shared" si="257"/>
        <v>0.71770351758793971</v>
      </c>
      <c r="P350" s="9">
        <f t="shared" si="259"/>
        <v>41.005742176284812</v>
      </c>
      <c r="Q350" s="5" t="str" cm="1">
        <f t="array" ref="Q350:R350">_xlfn.TEXTSPLIT(N350,"/")</f>
        <v>food</v>
      </c>
      <c r="R350" t="str">
        <v>food trucks</v>
      </c>
      <c r="S350" s="10">
        <f t="shared" ref="S350:T350" si="352">(((J350/60)/60)/24)+DATE(1970,1,1)</f>
        <v>42782.25</v>
      </c>
      <c r="T350" s="10">
        <f t="shared" si="352"/>
        <v>42795.25</v>
      </c>
    </row>
    <row r="351" spans="1:20" ht="15.75" customHeight="1" x14ac:dyDescent="0.25">
      <c r="A351" s="5">
        <v>349</v>
      </c>
      <c r="B351" s="6" t="s">
        <v>758</v>
      </c>
      <c r="C351" s="7" t="s">
        <v>759</v>
      </c>
      <c r="D351" s="5">
        <v>180800</v>
      </c>
      <c r="E351" s="5">
        <v>95958</v>
      </c>
      <c r="F351" s="5" t="s">
        <v>22</v>
      </c>
      <c r="G351" s="5">
        <v>923</v>
      </c>
      <c r="H351" s="5" t="s">
        <v>29</v>
      </c>
      <c r="I351" s="5" t="s">
        <v>30</v>
      </c>
      <c r="J351" s="5">
        <v>1500008400</v>
      </c>
      <c r="K351" s="5">
        <v>1502600400</v>
      </c>
      <c r="L351" s="5" t="b">
        <v>0</v>
      </c>
      <c r="M351" s="5" t="b">
        <v>0</v>
      </c>
      <c r="N351" s="5" t="s">
        <v>41</v>
      </c>
      <c r="O351" s="8">
        <f t="shared" si="257"/>
        <v>0.53074115044247783</v>
      </c>
      <c r="P351" s="9">
        <f t="shared" si="259"/>
        <v>103.96316359696641</v>
      </c>
      <c r="Q351" s="5" t="str" cm="1">
        <f t="array" ref="Q351:R351">_xlfn.TEXTSPLIT(N351,"/")</f>
        <v>theater</v>
      </c>
      <c r="R351" t="str">
        <v>plays</v>
      </c>
      <c r="S351" s="10">
        <f t="shared" ref="S351:T351" si="353">(((J351/60)/60)/24)+DATE(1970,1,1)</f>
        <v>42930.208333333328</v>
      </c>
      <c r="T351" s="10">
        <f t="shared" si="353"/>
        <v>42960.208333333328</v>
      </c>
    </row>
    <row r="352" spans="1:20" ht="15.75" customHeight="1" x14ac:dyDescent="0.25">
      <c r="A352" s="5">
        <v>350</v>
      </c>
      <c r="B352" s="6" t="s">
        <v>760</v>
      </c>
      <c r="C352" s="7" t="s">
        <v>761</v>
      </c>
      <c r="D352" s="5">
        <v>100</v>
      </c>
      <c r="E352" s="5">
        <v>5</v>
      </c>
      <c r="F352" s="5" t="s">
        <v>22</v>
      </c>
      <c r="G352" s="5">
        <v>1</v>
      </c>
      <c r="H352" s="5" t="s">
        <v>29</v>
      </c>
      <c r="I352" s="5" t="s">
        <v>30</v>
      </c>
      <c r="J352" s="5">
        <v>1432098000</v>
      </c>
      <c r="K352" s="5">
        <v>1433653200</v>
      </c>
      <c r="L352" s="5" t="b">
        <v>0</v>
      </c>
      <c r="M352" s="5" t="b">
        <v>1</v>
      </c>
      <c r="N352" s="5" t="s">
        <v>167</v>
      </c>
      <c r="O352" s="8">
        <f t="shared" si="257"/>
        <v>0.05</v>
      </c>
      <c r="P352" s="9">
        <f t="shared" si="259"/>
        <v>5</v>
      </c>
      <c r="Q352" s="5" t="str" cm="1">
        <f t="array" ref="Q352:R352">_xlfn.TEXTSPLIT(N352,"/")</f>
        <v>music</v>
      </c>
      <c r="R352" t="str">
        <v>jazz</v>
      </c>
      <c r="S352" s="10">
        <f t="shared" ref="S352:T352" si="354">(((J352/60)/60)/24)+DATE(1970,1,1)</f>
        <v>42144.208333333328</v>
      </c>
      <c r="T352" s="10">
        <f t="shared" si="354"/>
        <v>42162.208333333328</v>
      </c>
    </row>
    <row r="353" spans="1:20" ht="15.75" customHeight="1" x14ac:dyDescent="0.25">
      <c r="A353" s="5">
        <v>351</v>
      </c>
      <c r="B353" s="6" t="s">
        <v>762</v>
      </c>
      <c r="C353" s="7" t="s">
        <v>763</v>
      </c>
      <c r="D353" s="5">
        <v>74100</v>
      </c>
      <c r="E353" s="5">
        <v>94631</v>
      </c>
      <c r="F353" s="5" t="s">
        <v>28</v>
      </c>
      <c r="G353" s="5">
        <v>2013</v>
      </c>
      <c r="H353" s="5" t="s">
        <v>29</v>
      </c>
      <c r="I353" s="5" t="s">
        <v>30</v>
      </c>
      <c r="J353" s="5">
        <v>1440392400</v>
      </c>
      <c r="K353" s="5">
        <v>1441602000</v>
      </c>
      <c r="L353" s="5" t="b">
        <v>0</v>
      </c>
      <c r="M353" s="5" t="b">
        <v>0</v>
      </c>
      <c r="N353" s="5" t="s">
        <v>31</v>
      </c>
      <c r="O353" s="8">
        <f t="shared" si="257"/>
        <v>1.2770715249662619</v>
      </c>
      <c r="P353" s="9">
        <f t="shared" si="259"/>
        <v>47.009935419771487</v>
      </c>
      <c r="Q353" s="5" t="str" cm="1">
        <f t="array" ref="Q353:R353">_xlfn.TEXTSPLIT(N353,"/")</f>
        <v>music</v>
      </c>
      <c r="R353" t="str">
        <v>rock</v>
      </c>
      <c r="S353" s="10">
        <f t="shared" ref="S353:T353" si="355">(((J353/60)/60)/24)+DATE(1970,1,1)</f>
        <v>42240.208333333328</v>
      </c>
      <c r="T353" s="10">
        <f t="shared" si="355"/>
        <v>42254.208333333328</v>
      </c>
    </row>
    <row r="354" spans="1:20" ht="15.75" customHeight="1" x14ac:dyDescent="0.25">
      <c r="A354" s="5">
        <v>352</v>
      </c>
      <c r="B354" s="6" t="s">
        <v>764</v>
      </c>
      <c r="C354" s="7" t="s">
        <v>765</v>
      </c>
      <c r="D354" s="5">
        <v>2800</v>
      </c>
      <c r="E354" s="5">
        <v>977</v>
      </c>
      <c r="F354" s="5" t="s">
        <v>22</v>
      </c>
      <c r="G354" s="5">
        <v>33</v>
      </c>
      <c r="H354" s="5" t="s">
        <v>23</v>
      </c>
      <c r="I354" s="5" t="s">
        <v>24</v>
      </c>
      <c r="J354" s="5">
        <v>1446876000</v>
      </c>
      <c r="K354" s="5">
        <v>1447567200</v>
      </c>
      <c r="L354" s="5" t="b">
        <v>0</v>
      </c>
      <c r="M354" s="5" t="b">
        <v>0</v>
      </c>
      <c r="N354" s="5" t="s">
        <v>41</v>
      </c>
      <c r="O354" s="8">
        <f t="shared" si="257"/>
        <v>0.34892857142857142</v>
      </c>
      <c r="P354" s="9">
        <f t="shared" si="259"/>
        <v>29.606060606060606</v>
      </c>
      <c r="Q354" s="5" t="str" cm="1">
        <f t="array" ref="Q354:R354">_xlfn.TEXTSPLIT(N354,"/")</f>
        <v>theater</v>
      </c>
      <c r="R354" t="str">
        <v>plays</v>
      </c>
      <c r="S354" s="10">
        <f t="shared" ref="S354:T354" si="356">(((J354/60)/60)/24)+DATE(1970,1,1)</f>
        <v>42315.25</v>
      </c>
      <c r="T354" s="10">
        <f t="shared" si="356"/>
        <v>42323.25</v>
      </c>
    </row>
    <row r="355" spans="1:20" ht="15.75" customHeight="1" x14ac:dyDescent="0.25">
      <c r="A355" s="5">
        <v>353</v>
      </c>
      <c r="B355" s="6" t="s">
        <v>766</v>
      </c>
      <c r="C355" s="7" t="s">
        <v>767</v>
      </c>
      <c r="D355" s="5">
        <v>33600</v>
      </c>
      <c r="E355" s="5">
        <v>137961</v>
      </c>
      <c r="F355" s="5" t="s">
        <v>28</v>
      </c>
      <c r="G355" s="5">
        <v>1703</v>
      </c>
      <c r="H355" s="5" t="s">
        <v>29</v>
      </c>
      <c r="I355" s="5" t="s">
        <v>30</v>
      </c>
      <c r="J355" s="5">
        <v>1562302800</v>
      </c>
      <c r="K355" s="5">
        <v>1562389200</v>
      </c>
      <c r="L355" s="5" t="b">
        <v>0</v>
      </c>
      <c r="M355" s="5" t="b">
        <v>0</v>
      </c>
      <c r="N355" s="5" t="s">
        <v>41</v>
      </c>
      <c r="O355" s="8">
        <f t="shared" si="257"/>
        <v>4.105982142857143</v>
      </c>
      <c r="P355" s="9">
        <f t="shared" si="259"/>
        <v>81.010569583088667</v>
      </c>
      <c r="Q355" s="5" t="str" cm="1">
        <f t="array" ref="Q355:R355">_xlfn.TEXTSPLIT(N355,"/")</f>
        <v>theater</v>
      </c>
      <c r="R355" t="str">
        <v>plays</v>
      </c>
      <c r="S355" s="10">
        <f t="shared" ref="S355:T355" si="357">(((J355/60)/60)/24)+DATE(1970,1,1)</f>
        <v>43651.208333333328</v>
      </c>
      <c r="T355" s="10">
        <f t="shared" si="357"/>
        <v>43652.208333333328</v>
      </c>
    </row>
    <row r="356" spans="1:20" ht="15.75" customHeight="1" x14ac:dyDescent="0.25">
      <c r="A356" s="5">
        <v>354</v>
      </c>
      <c r="B356" s="6" t="s">
        <v>768</v>
      </c>
      <c r="C356" s="7" t="s">
        <v>769</v>
      </c>
      <c r="D356" s="5">
        <v>6100</v>
      </c>
      <c r="E356" s="5">
        <v>7548</v>
      </c>
      <c r="F356" s="5" t="s">
        <v>28</v>
      </c>
      <c r="G356" s="5">
        <v>80</v>
      </c>
      <c r="H356" s="5" t="s">
        <v>44</v>
      </c>
      <c r="I356" s="5" t="s">
        <v>45</v>
      </c>
      <c r="J356" s="5">
        <v>1378184400</v>
      </c>
      <c r="K356" s="5">
        <v>1378789200</v>
      </c>
      <c r="L356" s="5" t="b">
        <v>0</v>
      </c>
      <c r="M356" s="5" t="b">
        <v>0</v>
      </c>
      <c r="N356" s="5" t="s">
        <v>50</v>
      </c>
      <c r="O356" s="8">
        <f t="shared" si="257"/>
        <v>1.2373770491803278</v>
      </c>
      <c r="P356" s="9">
        <f t="shared" si="259"/>
        <v>94.35</v>
      </c>
      <c r="Q356" s="5" t="str" cm="1">
        <f t="array" ref="Q356:R356">_xlfn.TEXTSPLIT(N356,"/")</f>
        <v>film &amp; video</v>
      </c>
      <c r="R356" t="str">
        <v>documentary</v>
      </c>
      <c r="S356" s="10">
        <f t="shared" ref="S356:T356" si="358">(((J356/60)/60)/24)+DATE(1970,1,1)</f>
        <v>41520.208333333336</v>
      </c>
      <c r="T356" s="10">
        <f t="shared" si="358"/>
        <v>41527.208333333336</v>
      </c>
    </row>
    <row r="357" spans="1:20" ht="15.75" customHeight="1" x14ac:dyDescent="0.25">
      <c r="A357" s="5">
        <v>355</v>
      </c>
      <c r="B357" s="6" t="s">
        <v>770</v>
      </c>
      <c r="C357" s="7" t="s">
        <v>771</v>
      </c>
      <c r="D357" s="5">
        <v>3800</v>
      </c>
      <c r="E357" s="5">
        <v>2241</v>
      </c>
      <c r="F357" s="5" t="s">
        <v>55</v>
      </c>
      <c r="G357" s="5">
        <v>86</v>
      </c>
      <c r="H357" s="5" t="s">
        <v>29</v>
      </c>
      <c r="I357" s="5" t="s">
        <v>30</v>
      </c>
      <c r="J357" s="5">
        <v>1485064800</v>
      </c>
      <c r="K357" s="5">
        <v>1488520800</v>
      </c>
      <c r="L357" s="5" t="b">
        <v>0</v>
      </c>
      <c r="M357" s="5" t="b">
        <v>0</v>
      </c>
      <c r="N357" s="5" t="s">
        <v>73</v>
      </c>
      <c r="O357" s="8">
        <f t="shared" si="257"/>
        <v>0.58973684210526311</v>
      </c>
      <c r="P357" s="9">
        <f t="shared" si="259"/>
        <v>26.058139534883722</v>
      </c>
      <c r="Q357" s="5" t="str" cm="1">
        <f t="array" ref="Q357:R357">_xlfn.TEXTSPLIT(N357,"/")</f>
        <v>technology</v>
      </c>
      <c r="R357" t="str">
        <v>wearables</v>
      </c>
      <c r="S357" s="10">
        <f t="shared" ref="S357:T357" si="359">(((J357/60)/60)/24)+DATE(1970,1,1)</f>
        <v>42757.25</v>
      </c>
      <c r="T357" s="10">
        <f t="shared" si="359"/>
        <v>42797.25</v>
      </c>
    </row>
    <row r="358" spans="1:20" ht="15.75" customHeight="1" x14ac:dyDescent="0.25">
      <c r="A358" s="5">
        <v>356</v>
      </c>
      <c r="B358" s="6" t="s">
        <v>772</v>
      </c>
      <c r="C358" s="7" t="s">
        <v>773</v>
      </c>
      <c r="D358" s="5">
        <v>9300</v>
      </c>
      <c r="E358" s="5">
        <v>3431</v>
      </c>
      <c r="F358" s="5" t="s">
        <v>22</v>
      </c>
      <c r="G358" s="5">
        <v>40</v>
      </c>
      <c r="H358" s="5" t="s">
        <v>115</v>
      </c>
      <c r="I358" s="5" t="s">
        <v>116</v>
      </c>
      <c r="J358" s="5">
        <v>1326520800</v>
      </c>
      <c r="K358" s="5">
        <v>1327298400</v>
      </c>
      <c r="L358" s="5" t="b">
        <v>0</v>
      </c>
      <c r="M358" s="5" t="b">
        <v>0</v>
      </c>
      <c r="N358" s="5" t="s">
        <v>41</v>
      </c>
      <c r="O358" s="8">
        <f t="shared" si="257"/>
        <v>0.36892473118279567</v>
      </c>
      <c r="P358" s="9">
        <f t="shared" si="259"/>
        <v>85.775000000000006</v>
      </c>
      <c r="Q358" s="5" t="str" cm="1">
        <f t="array" ref="Q358:R358">_xlfn.TEXTSPLIT(N358,"/")</f>
        <v>theater</v>
      </c>
      <c r="R358" t="str">
        <v>plays</v>
      </c>
      <c r="S358" s="10">
        <f t="shared" ref="S358:T358" si="360">(((J358/60)/60)/24)+DATE(1970,1,1)</f>
        <v>40922.25</v>
      </c>
      <c r="T358" s="10">
        <f t="shared" si="360"/>
        <v>40931.25</v>
      </c>
    </row>
    <row r="359" spans="1:20" ht="15.75" customHeight="1" x14ac:dyDescent="0.25">
      <c r="A359" s="5">
        <v>357</v>
      </c>
      <c r="B359" s="6" t="s">
        <v>774</v>
      </c>
      <c r="C359" s="7" t="s">
        <v>775</v>
      </c>
      <c r="D359" s="5">
        <v>2300</v>
      </c>
      <c r="E359" s="5">
        <v>4253</v>
      </c>
      <c r="F359" s="5" t="s">
        <v>28</v>
      </c>
      <c r="G359" s="5">
        <v>41</v>
      </c>
      <c r="H359" s="5" t="s">
        <v>29</v>
      </c>
      <c r="I359" s="5" t="s">
        <v>30</v>
      </c>
      <c r="J359" s="5">
        <v>1441256400</v>
      </c>
      <c r="K359" s="5">
        <v>1443416400</v>
      </c>
      <c r="L359" s="5" t="b">
        <v>0</v>
      </c>
      <c r="M359" s="5" t="b">
        <v>0</v>
      </c>
      <c r="N359" s="5" t="s">
        <v>97</v>
      </c>
      <c r="O359" s="8">
        <f t="shared" si="257"/>
        <v>1.8491304347826087</v>
      </c>
      <c r="P359" s="9">
        <f t="shared" si="259"/>
        <v>103.73170731707317</v>
      </c>
      <c r="Q359" s="5" t="str" cm="1">
        <f t="array" ref="Q359:R359">_xlfn.TEXTSPLIT(N359,"/")</f>
        <v>games</v>
      </c>
      <c r="R359" t="str">
        <v>video games</v>
      </c>
      <c r="S359" s="10">
        <f t="shared" ref="S359:T359" si="361">(((J359/60)/60)/24)+DATE(1970,1,1)</f>
        <v>42250.208333333328</v>
      </c>
      <c r="T359" s="10">
        <f t="shared" si="361"/>
        <v>42275.208333333328</v>
      </c>
    </row>
    <row r="360" spans="1:20" ht="15.75" customHeight="1" x14ac:dyDescent="0.25">
      <c r="A360" s="5">
        <v>358</v>
      </c>
      <c r="B360" s="6" t="s">
        <v>776</v>
      </c>
      <c r="C360" s="7" t="s">
        <v>777</v>
      </c>
      <c r="D360" s="5">
        <v>9700</v>
      </c>
      <c r="E360" s="5">
        <v>1146</v>
      </c>
      <c r="F360" s="5" t="s">
        <v>22</v>
      </c>
      <c r="G360" s="5">
        <v>23</v>
      </c>
      <c r="H360" s="5" t="s">
        <v>23</v>
      </c>
      <c r="I360" s="5" t="s">
        <v>24</v>
      </c>
      <c r="J360" s="5">
        <v>1533877200</v>
      </c>
      <c r="K360" s="5">
        <v>1534136400</v>
      </c>
      <c r="L360" s="5" t="b">
        <v>1</v>
      </c>
      <c r="M360" s="5" t="b">
        <v>0</v>
      </c>
      <c r="N360" s="5" t="s">
        <v>130</v>
      </c>
      <c r="O360" s="8">
        <f t="shared" si="257"/>
        <v>0.11814432989690722</v>
      </c>
      <c r="P360" s="9">
        <f t="shared" si="259"/>
        <v>49.826086956521742</v>
      </c>
      <c r="Q360" s="5" t="str" cm="1">
        <f t="array" ref="Q360:R360">_xlfn.TEXTSPLIT(N360,"/")</f>
        <v>photography</v>
      </c>
      <c r="R360" t="str">
        <v>photography books</v>
      </c>
      <c r="S360" s="10">
        <f t="shared" ref="S360:T360" si="362">(((J360/60)/60)/24)+DATE(1970,1,1)</f>
        <v>43322.208333333328</v>
      </c>
      <c r="T360" s="10">
        <f t="shared" si="362"/>
        <v>43325.208333333328</v>
      </c>
    </row>
    <row r="361" spans="1:20" ht="15.75" customHeight="1" x14ac:dyDescent="0.25">
      <c r="A361" s="5">
        <v>359</v>
      </c>
      <c r="B361" s="6" t="s">
        <v>778</v>
      </c>
      <c r="C361" s="7" t="s">
        <v>779</v>
      </c>
      <c r="D361" s="5">
        <v>4000</v>
      </c>
      <c r="E361" s="5">
        <v>11948</v>
      </c>
      <c r="F361" s="5" t="s">
        <v>28</v>
      </c>
      <c r="G361" s="5">
        <v>187</v>
      </c>
      <c r="H361" s="5" t="s">
        <v>29</v>
      </c>
      <c r="I361" s="5" t="s">
        <v>30</v>
      </c>
      <c r="J361" s="5">
        <v>1314421200</v>
      </c>
      <c r="K361" s="5">
        <v>1315026000</v>
      </c>
      <c r="L361" s="5" t="b">
        <v>0</v>
      </c>
      <c r="M361" s="5" t="b">
        <v>0</v>
      </c>
      <c r="N361" s="5" t="s">
        <v>79</v>
      </c>
      <c r="O361" s="8">
        <f t="shared" si="257"/>
        <v>2.9870000000000001</v>
      </c>
      <c r="P361" s="9">
        <f t="shared" si="259"/>
        <v>63.893048128342244</v>
      </c>
      <c r="Q361" s="5" t="str" cm="1">
        <f t="array" ref="Q361:R361">_xlfn.TEXTSPLIT(N361,"/")</f>
        <v>film &amp; video</v>
      </c>
      <c r="R361" t="str">
        <v>animation</v>
      </c>
      <c r="S361" s="10">
        <f t="shared" ref="S361:T361" si="363">(((J361/60)/60)/24)+DATE(1970,1,1)</f>
        <v>40782.208333333336</v>
      </c>
      <c r="T361" s="10">
        <f t="shared" si="363"/>
        <v>40789.208333333336</v>
      </c>
    </row>
    <row r="362" spans="1:20" ht="15.75" customHeight="1" x14ac:dyDescent="0.25">
      <c r="A362" s="5">
        <v>360</v>
      </c>
      <c r="B362" s="6" t="s">
        <v>780</v>
      </c>
      <c r="C362" s="7" t="s">
        <v>781</v>
      </c>
      <c r="D362" s="5">
        <v>59700</v>
      </c>
      <c r="E362" s="5">
        <v>135132</v>
      </c>
      <c r="F362" s="5" t="s">
        <v>28</v>
      </c>
      <c r="G362" s="5">
        <v>2875</v>
      </c>
      <c r="H362" s="5" t="s">
        <v>48</v>
      </c>
      <c r="I362" s="5" t="s">
        <v>49</v>
      </c>
      <c r="J362" s="5">
        <v>1293861600</v>
      </c>
      <c r="K362" s="5">
        <v>1295071200</v>
      </c>
      <c r="L362" s="5" t="b">
        <v>0</v>
      </c>
      <c r="M362" s="5" t="b">
        <v>1</v>
      </c>
      <c r="N362" s="5" t="s">
        <v>41</v>
      </c>
      <c r="O362" s="8">
        <f t="shared" si="257"/>
        <v>2.2635175879396985</v>
      </c>
      <c r="P362" s="9">
        <f t="shared" si="259"/>
        <v>47.002434782608695</v>
      </c>
      <c r="Q362" s="5" t="str" cm="1">
        <f t="array" ref="Q362:R362">_xlfn.TEXTSPLIT(N362,"/")</f>
        <v>theater</v>
      </c>
      <c r="R362" t="str">
        <v>plays</v>
      </c>
      <c r="S362" s="10">
        <f t="shared" ref="S362:T362" si="364">(((J362/60)/60)/24)+DATE(1970,1,1)</f>
        <v>40544.25</v>
      </c>
      <c r="T362" s="10">
        <f t="shared" si="364"/>
        <v>40558.25</v>
      </c>
    </row>
    <row r="363" spans="1:20" ht="15.75" customHeight="1" x14ac:dyDescent="0.25">
      <c r="A363" s="5">
        <v>361</v>
      </c>
      <c r="B363" s="6" t="s">
        <v>782</v>
      </c>
      <c r="C363" s="7" t="s">
        <v>783</v>
      </c>
      <c r="D363" s="5">
        <v>5500</v>
      </c>
      <c r="E363" s="5">
        <v>9546</v>
      </c>
      <c r="F363" s="5" t="s">
        <v>28</v>
      </c>
      <c r="G363" s="5">
        <v>88</v>
      </c>
      <c r="H363" s="5" t="s">
        <v>29</v>
      </c>
      <c r="I363" s="5" t="s">
        <v>30</v>
      </c>
      <c r="J363" s="5">
        <v>1507352400</v>
      </c>
      <c r="K363" s="5">
        <v>1509426000</v>
      </c>
      <c r="L363" s="5" t="b">
        <v>0</v>
      </c>
      <c r="M363" s="5" t="b">
        <v>0</v>
      </c>
      <c r="N363" s="5" t="s">
        <v>41</v>
      </c>
      <c r="O363" s="8">
        <f t="shared" si="257"/>
        <v>1.7356363636363636</v>
      </c>
      <c r="P363" s="9">
        <f t="shared" si="259"/>
        <v>108.47727272727273</v>
      </c>
      <c r="Q363" s="5" t="str" cm="1">
        <f t="array" ref="Q363:R363">_xlfn.TEXTSPLIT(N363,"/")</f>
        <v>theater</v>
      </c>
      <c r="R363" t="str">
        <v>plays</v>
      </c>
      <c r="S363" s="10">
        <f t="shared" ref="S363:T363" si="365">(((J363/60)/60)/24)+DATE(1970,1,1)</f>
        <v>43015.208333333328</v>
      </c>
      <c r="T363" s="10">
        <f t="shared" si="365"/>
        <v>43039.208333333328</v>
      </c>
    </row>
    <row r="364" spans="1:20" ht="15.75" customHeight="1" x14ac:dyDescent="0.25">
      <c r="A364" s="5">
        <v>362</v>
      </c>
      <c r="B364" s="6" t="s">
        <v>784</v>
      </c>
      <c r="C364" s="7" t="s">
        <v>785</v>
      </c>
      <c r="D364" s="5">
        <v>3700</v>
      </c>
      <c r="E364" s="5">
        <v>13755</v>
      </c>
      <c r="F364" s="5" t="s">
        <v>28</v>
      </c>
      <c r="G364" s="5">
        <v>191</v>
      </c>
      <c r="H364" s="5" t="s">
        <v>29</v>
      </c>
      <c r="I364" s="5" t="s">
        <v>30</v>
      </c>
      <c r="J364" s="5">
        <v>1296108000</v>
      </c>
      <c r="K364" s="5">
        <v>1299391200</v>
      </c>
      <c r="L364" s="5" t="b">
        <v>0</v>
      </c>
      <c r="M364" s="5" t="b">
        <v>0</v>
      </c>
      <c r="N364" s="5" t="s">
        <v>31</v>
      </c>
      <c r="O364" s="8">
        <f t="shared" si="257"/>
        <v>3.7175675675675675</v>
      </c>
      <c r="P364" s="9">
        <f t="shared" si="259"/>
        <v>72.015706806282722</v>
      </c>
      <c r="Q364" s="5" t="str" cm="1">
        <f t="array" ref="Q364:R364">_xlfn.TEXTSPLIT(N364,"/")</f>
        <v>music</v>
      </c>
      <c r="R364" t="str">
        <v>rock</v>
      </c>
      <c r="S364" s="10">
        <f t="shared" ref="S364:T364" si="366">(((J364/60)/60)/24)+DATE(1970,1,1)</f>
        <v>40570.25</v>
      </c>
      <c r="T364" s="10">
        <f t="shared" si="366"/>
        <v>40608.25</v>
      </c>
    </row>
    <row r="365" spans="1:20" ht="15.75" customHeight="1" x14ac:dyDescent="0.25">
      <c r="A365" s="5">
        <v>363</v>
      </c>
      <c r="B365" s="6" t="s">
        <v>786</v>
      </c>
      <c r="C365" s="7" t="s">
        <v>787</v>
      </c>
      <c r="D365" s="5">
        <v>5200</v>
      </c>
      <c r="E365" s="5">
        <v>8330</v>
      </c>
      <c r="F365" s="5" t="s">
        <v>28</v>
      </c>
      <c r="G365" s="5">
        <v>139</v>
      </c>
      <c r="H365" s="5" t="s">
        <v>29</v>
      </c>
      <c r="I365" s="5" t="s">
        <v>30</v>
      </c>
      <c r="J365" s="5">
        <v>1324965600</v>
      </c>
      <c r="K365" s="5">
        <v>1325052000</v>
      </c>
      <c r="L365" s="5" t="b">
        <v>0</v>
      </c>
      <c r="M365" s="5" t="b">
        <v>0</v>
      </c>
      <c r="N365" s="5" t="s">
        <v>31</v>
      </c>
      <c r="O365" s="8">
        <f t="shared" si="257"/>
        <v>1.601923076923077</v>
      </c>
      <c r="P365" s="9">
        <f t="shared" si="259"/>
        <v>59.928057553956833</v>
      </c>
      <c r="Q365" s="5" t="str" cm="1">
        <f t="array" ref="Q365:R365">_xlfn.TEXTSPLIT(N365,"/")</f>
        <v>music</v>
      </c>
      <c r="R365" t="str">
        <v>rock</v>
      </c>
      <c r="S365" s="10">
        <f t="shared" ref="S365:T365" si="367">(((J365/60)/60)/24)+DATE(1970,1,1)</f>
        <v>40904.25</v>
      </c>
      <c r="T365" s="10">
        <f t="shared" si="367"/>
        <v>40905.25</v>
      </c>
    </row>
    <row r="366" spans="1:20" ht="15.75" customHeight="1" x14ac:dyDescent="0.25">
      <c r="A366" s="5">
        <v>364</v>
      </c>
      <c r="B366" s="6" t="s">
        <v>788</v>
      </c>
      <c r="C366" s="7" t="s">
        <v>789</v>
      </c>
      <c r="D366" s="5">
        <v>900</v>
      </c>
      <c r="E366" s="5">
        <v>14547</v>
      </c>
      <c r="F366" s="5" t="s">
        <v>28</v>
      </c>
      <c r="G366" s="5">
        <v>186</v>
      </c>
      <c r="H366" s="5" t="s">
        <v>29</v>
      </c>
      <c r="I366" s="5" t="s">
        <v>30</v>
      </c>
      <c r="J366" s="5">
        <v>1520229600</v>
      </c>
      <c r="K366" s="5">
        <v>1522818000</v>
      </c>
      <c r="L366" s="5" t="b">
        <v>0</v>
      </c>
      <c r="M366" s="5" t="b">
        <v>0</v>
      </c>
      <c r="N366" s="5" t="s">
        <v>68</v>
      </c>
      <c r="O366" s="8">
        <f t="shared" si="257"/>
        <v>16.163333333333334</v>
      </c>
      <c r="P366" s="9">
        <f t="shared" si="259"/>
        <v>78.209677419354833</v>
      </c>
      <c r="Q366" s="5" t="str" cm="1">
        <f t="array" ref="Q366:R366">_xlfn.TEXTSPLIT(N366,"/")</f>
        <v>music</v>
      </c>
      <c r="R366" t="str">
        <v>indie rock</v>
      </c>
      <c r="S366" s="10">
        <f t="shared" ref="S366:T366" si="368">(((J366/60)/60)/24)+DATE(1970,1,1)</f>
        <v>43164.25</v>
      </c>
      <c r="T366" s="10">
        <f t="shared" si="368"/>
        <v>43194.208333333328</v>
      </c>
    </row>
    <row r="367" spans="1:20" ht="15.75" customHeight="1" x14ac:dyDescent="0.25">
      <c r="A367" s="5">
        <v>365</v>
      </c>
      <c r="B367" s="6" t="s">
        <v>790</v>
      </c>
      <c r="C367" s="7" t="s">
        <v>791</v>
      </c>
      <c r="D367" s="5">
        <v>1600</v>
      </c>
      <c r="E367" s="5">
        <v>11735</v>
      </c>
      <c r="F367" s="5" t="s">
        <v>28</v>
      </c>
      <c r="G367" s="5">
        <v>112</v>
      </c>
      <c r="H367" s="5" t="s">
        <v>34</v>
      </c>
      <c r="I367" s="5" t="s">
        <v>35</v>
      </c>
      <c r="J367" s="5">
        <v>1482991200</v>
      </c>
      <c r="K367" s="5">
        <v>1485324000</v>
      </c>
      <c r="L367" s="5" t="b">
        <v>0</v>
      </c>
      <c r="M367" s="5" t="b">
        <v>0</v>
      </c>
      <c r="N367" s="5" t="s">
        <v>41</v>
      </c>
      <c r="O367" s="8">
        <f t="shared" si="257"/>
        <v>7.3343749999999996</v>
      </c>
      <c r="P367" s="9">
        <f t="shared" si="259"/>
        <v>104.77678571428571</v>
      </c>
      <c r="Q367" s="5" t="str" cm="1">
        <f t="array" ref="Q367:R367">_xlfn.TEXTSPLIT(N367,"/")</f>
        <v>theater</v>
      </c>
      <c r="R367" t="str">
        <v>plays</v>
      </c>
      <c r="S367" s="10">
        <f t="shared" ref="S367:T367" si="369">(((J367/60)/60)/24)+DATE(1970,1,1)</f>
        <v>42733.25</v>
      </c>
      <c r="T367" s="10">
        <f t="shared" si="369"/>
        <v>42760.25</v>
      </c>
    </row>
    <row r="368" spans="1:20" ht="15.75" customHeight="1" x14ac:dyDescent="0.25">
      <c r="A368" s="5">
        <v>366</v>
      </c>
      <c r="B368" s="6" t="s">
        <v>792</v>
      </c>
      <c r="C368" s="7" t="s">
        <v>793</v>
      </c>
      <c r="D368" s="5">
        <v>1800</v>
      </c>
      <c r="E368" s="5">
        <v>10658</v>
      </c>
      <c r="F368" s="5" t="s">
        <v>28</v>
      </c>
      <c r="G368" s="5">
        <v>101</v>
      </c>
      <c r="H368" s="5" t="s">
        <v>29</v>
      </c>
      <c r="I368" s="5" t="s">
        <v>30</v>
      </c>
      <c r="J368" s="5">
        <v>1294034400</v>
      </c>
      <c r="K368" s="5">
        <v>1294120800</v>
      </c>
      <c r="L368" s="5" t="b">
        <v>0</v>
      </c>
      <c r="M368" s="5" t="b">
        <v>1</v>
      </c>
      <c r="N368" s="5" t="s">
        <v>41</v>
      </c>
      <c r="O368" s="8">
        <f t="shared" si="257"/>
        <v>5.9211111111111112</v>
      </c>
      <c r="P368" s="9">
        <f t="shared" si="259"/>
        <v>105.52475247524752</v>
      </c>
      <c r="Q368" s="5" t="str" cm="1">
        <f t="array" ref="Q368:R368">_xlfn.TEXTSPLIT(N368,"/")</f>
        <v>theater</v>
      </c>
      <c r="R368" t="str">
        <v>plays</v>
      </c>
      <c r="S368" s="10">
        <f t="shared" ref="S368:T368" si="370">(((J368/60)/60)/24)+DATE(1970,1,1)</f>
        <v>40546.25</v>
      </c>
      <c r="T368" s="10">
        <f t="shared" si="370"/>
        <v>40547.25</v>
      </c>
    </row>
    <row r="369" spans="1:20" ht="15.75" customHeight="1" x14ac:dyDescent="0.25">
      <c r="A369" s="5">
        <v>367</v>
      </c>
      <c r="B369" s="6" t="s">
        <v>794</v>
      </c>
      <c r="C369" s="7" t="s">
        <v>795</v>
      </c>
      <c r="D369" s="5">
        <v>9900</v>
      </c>
      <c r="E369" s="5">
        <v>1870</v>
      </c>
      <c r="F369" s="5" t="s">
        <v>22</v>
      </c>
      <c r="G369" s="5">
        <v>75</v>
      </c>
      <c r="H369" s="5" t="s">
        <v>29</v>
      </c>
      <c r="I369" s="5" t="s">
        <v>30</v>
      </c>
      <c r="J369" s="5">
        <v>1413608400</v>
      </c>
      <c r="K369" s="5">
        <v>1415685600</v>
      </c>
      <c r="L369" s="5" t="b">
        <v>0</v>
      </c>
      <c r="M369" s="5" t="b">
        <v>1</v>
      </c>
      <c r="N369" s="5" t="s">
        <v>41</v>
      </c>
      <c r="O369" s="8">
        <f t="shared" si="257"/>
        <v>0.18888888888888888</v>
      </c>
      <c r="P369" s="9">
        <f t="shared" si="259"/>
        <v>24.933333333333334</v>
      </c>
      <c r="Q369" s="5" t="str" cm="1">
        <f t="array" ref="Q369:R369">_xlfn.TEXTSPLIT(N369,"/")</f>
        <v>theater</v>
      </c>
      <c r="R369" t="str">
        <v>plays</v>
      </c>
      <c r="S369" s="10">
        <f t="shared" ref="S369:T369" si="371">(((J369/60)/60)/24)+DATE(1970,1,1)</f>
        <v>41930.208333333336</v>
      </c>
      <c r="T369" s="10">
        <f t="shared" si="371"/>
        <v>41954.25</v>
      </c>
    </row>
    <row r="370" spans="1:20" ht="15.75" customHeight="1" x14ac:dyDescent="0.25">
      <c r="A370" s="5">
        <v>368</v>
      </c>
      <c r="B370" s="6" t="s">
        <v>796</v>
      </c>
      <c r="C370" s="7" t="s">
        <v>797</v>
      </c>
      <c r="D370" s="5">
        <v>5200</v>
      </c>
      <c r="E370" s="5">
        <v>14394</v>
      </c>
      <c r="F370" s="5" t="s">
        <v>28</v>
      </c>
      <c r="G370" s="5">
        <v>206</v>
      </c>
      <c r="H370" s="5" t="s">
        <v>48</v>
      </c>
      <c r="I370" s="5" t="s">
        <v>49</v>
      </c>
      <c r="J370" s="5">
        <v>1286946000</v>
      </c>
      <c r="K370" s="5">
        <v>1288933200</v>
      </c>
      <c r="L370" s="5" t="b">
        <v>0</v>
      </c>
      <c r="M370" s="5" t="b">
        <v>1</v>
      </c>
      <c r="N370" s="5" t="s">
        <v>50</v>
      </c>
      <c r="O370" s="8">
        <f t="shared" si="257"/>
        <v>2.7680769230769231</v>
      </c>
      <c r="P370" s="9">
        <f t="shared" si="259"/>
        <v>69.873786407766985</v>
      </c>
      <c r="Q370" s="5" t="str" cm="1">
        <f t="array" ref="Q370:R370">_xlfn.TEXTSPLIT(N370,"/")</f>
        <v>film &amp; video</v>
      </c>
      <c r="R370" t="str">
        <v>documentary</v>
      </c>
      <c r="S370" s="10">
        <f t="shared" ref="S370:T370" si="372">(((J370/60)/60)/24)+DATE(1970,1,1)</f>
        <v>40464.208333333336</v>
      </c>
      <c r="T370" s="10">
        <f t="shared" si="372"/>
        <v>40487.208333333336</v>
      </c>
    </row>
    <row r="371" spans="1:20" ht="15.75" customHeight="1" x14ac:dyDescent="0.25">
      <c r="A371" s="5">
        <v>369</v>
      </c>
      <c r="B371" s="6" t="s">
        <v>798</v>
      </c>
      <c r="C371" s="7" t="s">
        <v>799</v>
      </c>
      <c r="D371" s="5">
        <v>5400</v>
      </c>
      <c r="E371" s="5">
        <v>14743</v>
      </c>
      <c r="F371" s="5" t="s">
        <v>28</v>
      </c>
      <c r="G371" s="5">
        <v>154</v>
      </c>
      <c r="H371" s="5" t="s">
        <v>29</v>
      </c>
      <c r="I371" s="5" t="s">
        <v>30</v>
      </c>
      <c r="J371" s="5">
        <v>1359871200</v>
      </c>
      <c r="K371" s="5">
        <v>1363237200</v>
      </c>
      <c r="L371" s="5" t="b">
        <v>0</v>
      </c>
      <c r="M371" s="5" t="b">
        <v>1</v>
      </c>
      <c r="N371" s="5" t="s">
        <v>277</v>
      </c>
      <c r="O371" s="8">
        <f t="shared" si="257"/>
        <v>2.730185185185185</v>
      </c>
      <c r="P371" s="9">
        <f t="shared" si="259"/>
        <v>95.733766233766232</v>
      </c>
      <c r="Q371" s="5" t="str" cm="1">
        <f t="array" ref="Q371:R371">_xlfn.TEXTSPLIT(N371,"/")</f>
        <v>film &amp; video</v>
      </c>
      <c r="R371" t="str">
        <v>television</v>
      </c>
      <c r="S371" s="10">
        <f t="shared" ref="S371:T371" si="373">(((J371/60)/60)/24)+DATE(1970,1,1)</f>
        <v>41308.25</v>
      </c>
      <c r="T371" s="10">
        <f t="shared" si="373"/>
        <v>41347.208333333336</v>
      </c>
    </row>
    <row r="372" spans="1:20" ht="15.75" customHeight="1" x14ac:dyDescent="0.25">
      <c r="A372" s="5">
        <v>370</v>
      </c>
      <c r="B372" s="6" t="s">
        <v>800</v>
      </c>
      <c r="C372" s="7" t="s">
        <v>801</v>
      </c>
      <c r="D372" s="5">
        <v>112300</v>
      </c>
      <c r="E372" s="5">
        <v>178965</v>
      </c>
      <c r="F372" s="5" t="s">
        <v>28</v>
      </c>
      <c r="G372" s="5">
        <v>5966</v>
      </c>
      <c r="H372" s="5" t="s">
        <v>29</v>
      </c>
      <c r="I372" s="5" t="s">
        <v>30</v>
      </c>
      <c r="J372" s="5">
        <v>1555304400</v>
      </c>
      <c r="K372" s="5">
        <v>1555822800</v>
      </c>
      <c r="L372" s="5" t="b">
        <v>0</v>
      </c>
      <c r="M372" s="5" t="b">
        <v>0</v>
      </c>
      <c r="N372" s="5" t="s">
        <v>41</v>
      </c>
      <c r="O372" s="8">
        <f t="shared" si="257"/>
        <v>1.593633125556545</v>
      </c>
      <c r="P372" s="9">
        <f t="shared" si="259"/>
        <v>29.997485752598056</v>
      </c>
      <c r="Q372" s="5" t="str" cm="1">
        <f t="array" ref="Q372:R372">_xlfn.TEXTSPLIT(N372,"/")</f>
        <v>theater</v>
      </c>
      <c r="R372" t="str">
        <v>plays</v>
      </c>
      <c r="S372" s="10">
        <f t="shared" ref="S372:T372" si="374">(((J372/60)/60)/24)+DATE(1970,1,1)</f>
        <v>43570.208333333328</v>
      </c>
      <c r="T372" s="10">
        <f t="shared" si="374"/>
        <v>43576.208333333328</v>
      </c>
    </row>
    <row r="373" spans="1:20" ht="15.75" customHeight="1" x14ac:dyDescent="0.25">
      <c r="A373" s="5">
        <v>371</v>
      </c>
      <c r="B373" s="6" t="s">
        <v>802</v>
      </c>
      <c r="C373" s="7" t="s">
        <v>803</v>
      </c>
      <c r="D373" s="5">
        <v>189200</v>
      </c>
      <c r="E373" s="5">
        <v>128410</v>
      </c>
      <c r="F373" s="5" t="s">
        <v>22</v>
      </c>
      <c r="G373" s="5">
        <v>2176</v>
      </c>
      <c r="H373" s="5" t="s">
        <v>29</v>
      </c>
      <c r="I373" s="5" t="s">
        <v>30</v>
      </c>
      <c r="J373" s="5">
        <v>1423375200</v>
      </c>
      <c r="K373" s="5">
        <v>1427778000</v>
      </c>
      <c r="L373" s="5" t="b">
        <v>0</v>
      </c>
      <c r="M373" s="5" t="b">
        <v>0</v>
      </c>
      <c r="N373" s="5" t="s">
        <v>41</v>
      </c>
      <c r="O373" s="8">
        <f t="shared" si="257"/>
        <v>0.67869978858350954</v>
      </c>
      <c r="P373" s="9">
        <f t="shared" si="259"/>
        <v>59.011948529411768</v>
      </c>
      <c r="Q373" s="5" t="str" cm="1">
        <f t="array" ref="Q373:R373">_xlfn.TEXTSPLIT(N373,"/")</f>
        <v>theater</v>
      </c>
      <c r="R373" t="str">
        <v>plays</v>
      </c>
      <c r="S373" s="10">
        <f t="shared" ref="S373:T373" si="375">(((J373/60)/60)/24)+DATE(1970,1,1)</f>
        <v>42043.25</v>
      </c>
      <c r="T373" s="10">
        <f t="shared" si="375"/>
        <v>42094.208333333328</v>
      </c>
    </row>
    <row r="374" spans="1:20" ht="15.75" customHeight="1" x14ac:dyDescent="0.25">
      <c r="A374" s="5">
        <v>372</v>
      </c>
      <c r="B374" s="6" t="s">
        <v>804</v>
      </c>
      <c r="C374" s="7" t="s">
        <v>805</v>
      </c>
      <c r="D374" s="5">
        <v>900</v>
      </c>
      <c r="E374" s="5">
        <v>14324</v>
      </c>
      <c r="F374" s="5" t="s">
        <v>28</v>
      </c>
      <c r="G374" s="5">
        <v>169</v>
      </c>
      <c r="H374" s="5" t="s">
        <v>29</v>
      </c>
      <c r="I374" s="5" t="s">
        <v>30</v>
      </c>
      <c r="J374" s="5">
        <v>1420696800</v>
      </c>
      <c r="K374" s="5">
        <v>1422424800</v>
      </c>
      <c r="L374" s="5" t="b">
        <v>0</v>
      </c>
      <c r="M374" s="5" t="b">
        <v>1</v>
      </c>
      <c r="N374" s="5" t="s">
        <v>50</v>
      </c>
      <c r="O374" s="8">
        <f t="shared" si="257"/>
        <v>15.915555555555555</v>
      </c>
      <c r="P374" s="9">
        <f t="shared" si="259"/>
        <v>84.757396449704146</v>
      </c>
      <c r="Q374" s="5" t="str" cm="1">
        <f t="array" ref="Q374:R374">_xlfn.TEXTSPLIT(N374,"/")</f>
        <v>film &amp; video</v>
      </c>
      <c r="R374" t="str">
        <v>documentary</v>
      </c>
      <c r="S374" s="10">
        <f t="shared" ref="S374:T374" si="376">(((J374/60)/60)/24)+DATE(1970,1,1)</f>
        <v>42012.25</v>
      </c>
      <c r="T374" s="10">
        <f t="shared" si="376"/>
        <v>42032.25</v>
      </c>
    </row>
    <row r="375" spans="1:20" ht="15.75" customHeight="1" x14ac:dyDescent="0.25">
      <c r="A375" s="5">
        <v>373</v>
      </c>
      <c r="B375" s="6" t="s">
        <v>806</v>
      </c>
      <c r="C375" s="7" t="s">
        <v>807</v>
      </c>
      <c r="D375" s="5">
        <v>22500</v>
      </c>
      <c r="E375" s="5">
        <v>164291</v>
      </c>
      <c r="F375" s="5" t="s">
        <v>28</v>
      </c>
      <c r="G375" s="5">
        <v>2106</v>
      </c>
      <c r="H375" s="5" t="s">
        <v>29</v>
      </c>
      <c r="I375" s="5" t="s">
        <v>30</v>
      </c>
      <c r="J375" s="5">
        <v>1502946000</v>
      </c>
      <c r="K375" s="5">
        <v>1503637200</v>
      </c>
      <c r="L375" s="5" t="b">
        <v>0</v>
      </c>
      <c r="M375" s="5" t="b">
        <v>0</v>
      </c>
      <c r="N375" s="5" t="s">
        <v>41</v>
      </c>
      <c r="O375" s="8">
        <f t="shared" si="257"/>
        <v>7.3018222222222224</v>
      </c>
      <c r="P375" s="9">
        <f t="shared" si="259"/>
        <v>78.010921177587846</v>
      </c>
      <c r="Q375" s="5" t="str" cm="1">
        <f t="array" ref="Q375:R375">_xlfn.TEXTSPLIT(N375,"/")</f>
        <v>theater</v>
      </c>
      <c r="R375" t="str">
        <v>plays</v>
      </c>
      <c r="S375" s="10">
        <f t="shared" ref="S375:T375" si="377">(((J375/60)/60)/24)+DATE(1970,1,1)</f>
        <v>42964.208333333328</v>
      </c>
      <c r="T375" s="10">
        <f t="shared" si="377"/>
        <v>42972.208333333328</v>
      </c>
    </row>
    <row r="376" spans="1:20" ht="15.75" customHeight="1" x14ac:dyDescent="0.25">
      <c r="A376" s="5">
        <v>374</v>
      </c>
      <c r="B376" s="6" t="s">
        <v>808</v>
      </c>
      <c r="C376" s="7" t="s">
        <v>809</v>
      </c>
      <c r="D376" s="5">
        <v>167400</v>
      </c>
      <c r="E376" s="5">
        <v>22073</v>
      </c>
      <c r="F376" s="5" t="s">
        <v>22</v>
      </c>
      <c r="G376" s="5">
        <v>441</v>
      </c>
      <c r="H376" s="5" t="s">
        <v>29</v>
      </c>
      <c r="I376" s="5" t="s">
        <v>30</v>
      </c>
      <c r="J376" s="5">
        <v>1547186400</v>
      </c>
      <c r="K376" s="5">
        <v>1547618400</v>
      </c>
      <c r="L376" s="5" t="b">
        <v>0</v>
      </c>
      <c r="M376" s="5" t="b">
        <v>1</v>
      </c>
      <c r="N376" s="5" t="s">
        <v>50</v>
      </c>
      <c r="O376" s="8">
        <f t="shared" si="257"/>
        <v>0.13185782556750297</v>
      </c>
      <c r="P376" s="9">
        <f t="shared" si="259"/>
        <v>50.05215419501134</v>
      </c>
      <c r="Q376" s="5" t="str" cm="1">
        <f t="array" ref="Q376:R376">_xlfn.TEXTSPLIT(N376,"/")</f>
        <v>film &amp; video</v>
      </c>
      <c r="R376" t="str">
        <v>documentary</v>
      </c>
      <c r="S376" s="10">
        <f t="shared" ref="S376:T376" si="378">(((J376/60)/60)/24)+DATE(1970,1,1)</f>
        <v>43476.25</v>
      </c>
      <c r="T376" s="10">
        <f t="shared" si="378"/>
        <v>43481.25</v>
      </c>
    </row>
    <row r="377" spans="1:20" ht="15.75" customHeight="1" x14ac:dyDescent="0.25">
      <c r="A377" s="5">
        <v>375</v>
      </c>
      <c r="B377" s="6" t="s">
        <v>810</v>
      </c>
      <c r="C377" s="7" t="s">
        <v>811</v>
      </c>
      <c r="D377" s="5">
        <v>2700</v>
      </c>
      <c r="E377" s="5">
        <v>1479</v>
      </c>
      <c r="F377" s="5" t="s">
        <v>22</v>
      </c>
      <c r="G377" s="5">
        <v>25</v>
      </c>
      <c r="H377" s="5" t="s">
        <v>29</v>
      </c>
      <c r="I377" s="5" t="s">
        <v>30</v>
      </c>
      <c r="J377" s="5">
        <v>1444971600</v>
      </c>
      <c r="K377" s="5">
        <v>1449900000</v>
      </c>
      <c r="L377" s="5" t="b">
        <v>0</v>
      </c>
      <c r="M377" s="5" t="b">
        <v>0</v>
      </c>
      <c r="N377" s="5" t="s">
        <v>68</v>
      </c>
      <c r="O377" s="8">
        <f t="shared" si="257"/>
        <v>0.54777777777777781</v>
      </c>
      <c r="P377" s="9">
        <f t="shared" si="259"/>
        <v>59.16</v>
      </c>
      <c r="Q377" s="5" t="str" cm="1">
        <f t="array" ref="Q377:R377">_xlfn.TEXTSPLIT(N377,"/")</f>
        <v>music</v>
      </c>
      <c r="R377" t="str">
        <v>indie rock</v>
      </c>
      <c r="S377" s="10">
        <f t="shared" ref="S377:T377" si="379">(((J377/60)/60)/24)+DATE(1970,1,1)</f>
        <v>42293.208333333328</v>
      </c>
      <c r="T377" s="10">
        <f t="shared" si="379"/>
        <v>42350.25</v>
      </c>
    </row>
    <row r="378" spans="1:20" ht="15.75" customHeight="1" x14ac:dyDescent="0.25">
      <c r="A378" s="5">
        <v>376</v>
      </c>
      <c r="B378" s="6" t="s">
        <v>812</v>
      </c>
      <c r="C378" s="7" t="s">
        <v>813</v>
      </c>
      <c r="D378" s="5">
        <v>3400</v>
      </c>
      <c r="E378" s="5">
        <v>12275</v>
      </c>
      <c r="F378" s="5" t="s">
        <v>28</v>
      </c>
      <c r="G378" s="5">
        <v>131</v>
      </c>
      <c r="H378" s="5" t="s">
        <v>29</v>
      </c>
      <c r="I378" s="5" t="s">
        <v>30</v>
      </c>
      <c r="J378" s="5">
        <v>1404622800</v>
      </c>
      <c r="K378" s="5">
        <v>1405141200</v>
      </c>
      <c r="L378" s="5" t="b">
        <v>0</v>
      </c>
      <c r="M378" s="5" t="b">
        <v>0</v>
      </c>
      <c r="N378" s="5" t="s">
        <v>31</v>
      </c>
      <c r="O378" s="8">
        <f t="shared" si="257"/>
        <v>3.6102941176470589</v>
      </c>
      <c r="P378" s="9">
        <f t="shared" si="259"/>
        <v>93.702290076335885</v>
      </c>
      <c r="Q378" s="5" t="str" cm="1">
        <f t="array" ref="Q378:R378">_xlfn.TEXTSPLIT(N378,"/")</f>
        <v>music</v>
      </c>
      <c r="R378" t="str">
        <v>rock</v>
      </c>
      <c r="S378" s="10">
        <f t="shared" ref="S378:T378" si="380">(((J378/60)/60)/24)+DATE(1970,1,1)</f>
        <v>41826.208333333336</v>
      </c>
      <c r="T378" s="10">
        <f t="shared" si="380"/>
        <v>41832.208333333336</v>
      </c>
    </row>
    <row r="379" spans="1:20" ht="15.75" customHeight="1" x14ac:dyDescent="0.25">
      <c r="A379" s="5">
        <v>377</v>
      </c>
      <c r="B379" s="6" t="s">
        <v>814</v>
      </c>
      <c r="C379" s="7" t="s">
        <v>815</v>
      </c>
      <c r="D379" s="5">
        <v>49700</v>
      </c>
      <c r="E379" s="5">
        <v>5098</v>
      </c>
      <c r="F379" s="5" t="s">
        <v>22</v>
      </c>
      <c r="G379" s="5">
        <v>127</v>
      </c>
      <c r="H379" s="5" t="s">
        <v>29</v>
      </c>
      <c r="I379" s="5" t="s">
        <v>30</v>
      </c>
      <c r="J379" s="5">
        <v>1571720400</v>
      </c>
      <c r="K379" s="5">
        <v>1572933600</v>
      </c>
      <c r="L379" s="5" t="b">
        <v>0</v>
      </c>
      <c r="M379" s="5" t="b">
        <v>0</v>
      </c>
      <c r="N379" s="5" t="s">
        <v>41</v>
      </c>
      <c r="O379" s="8">
        <f t="shared" si="257"/>
        <v>0.10257545271629778</v>
      </c>
      <c r="P379" s="9">
        <f t="shared" si="259"/>
        <v>40.14173228346457</v>
      </c>
      <c r="Q379" s="5" t="str" cm="1">
        <f t="array" ref="Q379:R379">_xlfn.TEXTSPLIT(N379,"/")</f>
        <v>theater</v>
      </c>
      <c r="R379" t="str">
        <v>plays</v>
      </c>
      <c r="S379" s="10">
        <f t="shared" ref="S379:T379" si="381">(((J379/60)/60)/24)+DATE(1970,1,1)</f>
        <v>43760.208333333328</v>
      </c>
      <c r="T379" s="10">
        <f t="shared" si="381"/>
        <v>43774.25</v>
      </c>
    </row>
    <row r="380" spans="1:20" ht="15.75" customHeight="1" x14ac:dyDescent="0.25">
      <c r="A380" s="5">
        <v>378</v>
      </c>
      <c r="B380" s="6" t="s">
        <v>816</v>
      </c>
      <c r="C380" s="7" t="s">
        <v>817</v>
      </c>
      <c r="D380" s="5">
        <v>178200</v>
      </c>
      <c r="E380" s="5">
        <v>24882</v>
      </c>
      <c r="F380" s="5" t="s">
        <v>22</v>
      </c>
      <c r="G380" s="5">
        <v>355</v>
      </c>
      <c r="H380" s="5" t="s">
        <v>29</v>
      </c>
      <c r="I380" s="5" t="s">
        <v>30</v>
      </c>
      <c r="J380" s="5">
        <v>1526878800</v>
      </c>
      <c r="K380" s="5">
        <v>1530162000</v>
      </c>
      <c r="L380" s="5" t="b">
        <v>0</v>
      </c>
      <c r="M380" s="5" t="b">
        <v>0</v>
      </c>
      <c r="N380" s="5" t="s">
        <v>50</v>
      </c>
      <c r="O380" s="8">
        <f t="shared" si="257"/>
        <v>0.13962962962962963</v>
      </c>
      <c r="P380" s="9">
        <f t="shared" si="259"/>
        <v>70.090140845070422</v>
      </c>
      <c r="Q380" s="5" t="str" cm="1">
        <f t="array" ref="Q380:R380">_xlfn.TEXTSPLIT(N380,"/")</f>
        <v>film &amp; video</v>
      </c>
      <c r="R380" t="str">
        <v>documentary</v>
      </c>
      <c r="S380" s="10">
        <f t="shared" ref="S380:T380" si="382">(((J380/60)/60)/24)+DATE(1970,1,1)</f>
        <v>43241.208333333328</v>
      </c>
      <c r="T380" s="10">
        <f t="shared" si="382"/>
        <v>43279.208333333328</v>
      </c>
    </row>
    <row r="381" spans="1:20" ht="15.75" customHeight="1" x14ac:dyDescent="0.25">
      <c r="A381" s="5">
        <v>379</v>
      </c>
      <c r="B381" s="6" t="s">
        <v>818</v>
      </c>
      <c r="C381" s="7" t="s">
        <v>819</v>
      </c>
      <c r="D381" s="5">
        <v>7200</v>
      </c>
      <c r="E381" s="5">
        <v>2912</v>
      </c>
      <c r="F381" s="5" t="s">
        <v>22</v>
      </c>
      <c r="G381" s="5">
        <v>44</v>
      </c>
      <c r="H381" s="5" t="s">
        <v>48</v>
      </c>
      <c r="I381" s="5" t="s">
        <v>49</v>
      </c>
      <c r="J381" s="5">
        <v>1319691600</v>
      </c>
      <c r="K381" s="5">
        <v>1320904800</v>
      </c>
      <c r="L381" s="5" t="b">
        <v>0</v>
      </c>
      <c r="M381" s="5" t="b">
        <v>0</v>
      </c>
      <c r="N381" s="5" t="s">
        <v>41</v>
      </c>
      <c r="O381" s="8">
        <f t="shared" si="257"/>
        <v>0.40444444444444444</v>
      </c>
      <c r="P381" s="9">
        <f t="shared" si="259"/>
        <v>66.181818181818187</v>
      </c>
      <c r="Q381" s="5" t="str" cm="1">
        <f t="array" ref="Q381:R381">_xlfn.TEXTSPLIT(N381,"/")</f>
        <v>theater</v>
      </c>
      <c r="R381" t="str">
        <v>plays</v>
      </c>
      <c r="S381" s="10">
        <f t="shared" ref="S381:T381" si="383">(((J381/60)/60)/24)+DATE(1970,1,1)</f>
        <v>40843.208333333336</v>
      </c>
      <c r="T381" s="10">
        <f t="shared" si="383"/>
        <v>40857.25</v>
      </c>
    </row>
    <row r="382" spans="1:20" ht="15.75" customHeight="1" x14ac:dyDescent="0.25">
      <c r="A382" s="5">
        <v>380</v>
      </c>
      <c r="B382" s="6" t="s">
        <v>820</v>
      </c>
      <c r="C382" s="7" t="s">
        <v>821</v>
      </c>
      <c r="D382" s="5">
        <v>2500</v>
      </c>
      <c r="E382" s="5">
        <v>4008</v>
      </c>
      <c r="F382" s="5" t="s">
        <v>28</v>
      </c>
      <c r="G382" s="5">
        <v>84</v>
      </c>
      <c r="H382" s="5" t="s">
        <v>29</v>
      </c>
      <c r="I382" s="5" t="s">
        <v>30</v>
      </c>
      <c r="J382" s="5">
        <v>1371963600</v>
      </c>
      <c r="K382" s="5">
        <v>1372395600</v>
      </c>
      <c r="L382" s="5" t="b">
        <v>0</v>
      </c>
      <c r="M382" s="5" t="b">
        <v>0</v>
      </c>
      <c r="N382" s="5" t="s">
        <v>41</v>
      </c>
      <c r="O382" s="8">
        <f t="shared" si="257"/>
        <v>1.6032</v>
      </c>
      <c r="P382" s="9">
        <f t="shared" si="259"/>
        <v>47.714285714285715</v>
      </c>
      <c r="Q382" s="5" t="str" cm="1">
        <f t="array" ref="Q382:R382">_xlfn.TEXTSPLIT(N382,"/")</f>
        <v>theater</v>
      </c>
      <c r="R382" t="str">
        <v>plays</v>
      </c>
      <c r="S382" s="10">
        <f t="shared" ref="S382:T382" si="384">(((J382/60)/60)/24)+DATE(1970,1,1)</f>
        <v>41448.208333333336</v>
      </c>
      <c r="T382" s="10">
        <f t="shared" si="384"/>
        <v>41453.208333333336</v>
      </c>
    </row>
    <row r="383" spans="1:20" ht="15.75" customHeight="1" x14ac:dyDescent="0.25">
      <c r="A383" s="5">
        <v>381</v>
      </c>
      <c r="B383" s="6" t="s">
        <v>822</v>
      </c>
      <c r="C383" s="7" t="s">
        <v>823</v>
      </c>
      <c r="D383" s="5">
        <v>5300</v>
      </c>
      <c r="E383" s="5">
        <v>9749</v>
      </c>
      <c r="F383" s="5" t="s">
        <v>28</v>
      </c>
      <c r="G383" s="5">
        <v>155</v>
      </c>
      <c r="H383" s="5" t="s">
        <v>29</v>
      </c>
      <c r="I383" s="5" t="s">
        <v>30</v>
      </c>
      <c r="J383" s="5">
        <v>1433739600</v>
      </c>
      <c r="K383" s="5">
        <v>1437714000</v>
      </c>
      <c r="L383" s="5" t="b">
        <v>0</v>
      </c>
      <c r="M383" s="5" t="b">
        <v>0</v>
      </c>
      <c r="N383" s="5" t="s">
        <v>41</v>
      </c>
      <c r="O383" s="8">
        <f t="shared" si="257"/>
        <v>1.8394339622641509</v>
      </c>
      <c r="P383" s="9">
        <f t="shared" si="259"/>
        <v>62.896774193548389</v>
      </c>
      <c r="Q383" s="5" t="str" cm="1">
        <f t="array" ref="Q383:R383">_xlfn.TEXTSPLIT(N383,"/")</f>
        <v>theater</v>
      </c>
      <c r="R383" t="str">
        <v>plays</v>
      </c>
      <c r="S383" s="10">
        <f t="shared" ref="S383:T383" si="385">(((J383/60)/60)/24)+DATE(1970,1,1)</f>
        <v>42163.208333333328</v>
      </c>
      <c r="T383" s="10">
        <f t="shared" si="385"/>
        <v>42209.208333333328</v>
      </c>
    </row>
    <row r="384" spans="1:20" ht="15.75" customHeight="1" x14ac:dyDescent="0.25">
      <c r="A384" s="5">
        <v>382</v>
      </c>
      <c r="B384" s="6" t="s">
        <v>824</v>
      </c>
      <c r="C384" s="7" t="s">
        <v>825</v>
      </c>
      <c r="D384" s="5">
        <v>9100</v>
      </c>
      <c r="E384" s="5">
        <v>5803</v>
      </c>
      <c r="F384" s="5" t="s">
        <v>22</v>
      </c>
      <c r="G384" s="5">
        <v>67</v>
      </c>
      <c r="H384" s="5" t="s">
        <v>29</v>
      </c>
      <c r="I384" s="5" t="s">
        <v>30</v>
      </c>
      <c r="J384" s="5">
        <v>1508130000</v>
      </c>
      <c r="K384" s="5">
        <v>1509771600</v>
      </c>
      <c r="L384" s="5" t="b">
        <v>0</v>
      </c>
      <c r="M384" s="5" t="b">
        <v>0</v>
      </c>
      <c r="N384" s="5" t="s">
        <v>130</v>
      </c>
      <c r="O384" s="8">
        <f t="shared" si="257"/>
        <v>0.63769230769230767</v>
      </c>
      <c r="P384" s="9">
        <f t="shared" si="259"/>
        <v>86.611940298507463</v>
      </c>
      <c r="Q384" s="5" t="str" cm="1">
        <f t="array" ref="Q384:R384">_xlfn.TEXTSPLIT(N384,"/")</f>
        <v>photography</v>
      </c>
      <c r="R384" t="str">
        <v>photography books</v>
      </c>
      <c r="S384" s="10">
        <f t="shared" ref="S384:T384" si="386">(((J384/60)/60)/24)+DATE(1970,1,1)</f>
        <v>43024.208333333328</v>
      </c>
      <c r="T384" s="10">
        <f t="shared" si="386"/>
        <v>43043.208333333328</v>
      </c>
    </row>
    <row r="385" spans="1:20" ht="15.75" customHeight="1" x14ac:dyDescent="0.25">
      <c r="A385" s="5">
        <v>383</v>
      </c>
      <c r="B385" s="6" t="s">
        <v>826</v>
      </c>
      <c r="C385" s="7" t="s">
        <v>827</v>
      </c>
      <c r="D385" s="5">
        <v>6300</v>
      </c>
      <c r="E385" s="5">
        <v>14199</v>
      </c>
      <c r="F385" s="5" t="s">
        <v>28</v>
      </c>
      <c r="G385" s="5">
        <v>189</v>
      </c>
      <c r="H385" s="5" t="s">
        <v>29</v>
      </c>
      <c r="I385" s="5" t="s">
        <v>30</v>
      </c>
      <c r="J385" s="5">
        <v>1550037600</v>
      </c>
      <c r="K385" s="5">
        <v>1550556000</v>
      </c>
      <c r="L385" s="5" t="b">
        <v>0</v>
      </c>
      <c r="M385" s="5" t="b">
        <v>1</v>
      </c>
      <c r="N385" s="5" t="s">
        <v>25</v>
      </c>
      <c r="O385" s="8">
        <f t="shared" si="257"/>
        <v>2.2538095238095237</v>
      </c>
      <c r="P385" s="9">
        <f t="shared" si="259"/>
        <v>75.126984126984127</v>
      </c>
      <c r="Q385" s="5" t="str" cm="1">
        <f t="array" ref="Q385:R385">_xlfn.TEXTSPLIT(N385,"/")</f>
        <v>food</v>
      </c>
      <c r="R385" t="str">
        <v>food trucks</v>
      </c>
      <c r="S385" s="10">
        <f t="shared" ref="S385:T385" si="387">(((J385/60)/60)/24)+DATE(1970,1,1)</f>
        <v>43509.25</v>
      </c>
      <c r="T385" s="10">
        <f t="shared" si="387"/>
        <v>43515.25</v>
      </c>
    </row>
    <row r="386" spans="1:20" ht="15.75" customHeight="1" x14ac:dyDescent="0.25">
      <c r="A386" s="5">
        <v>384</v>
      </c>
      <c r="B386" s="6" t="s">
        <v>828</v>
      </c>
      <c r="C386" s="7" t="s">
        <v>829</v>
      </c>
      <c r="D386" s="5">
        <v>114400</v>
      </c>
      <c r="E386" s="5">
        <v>196779</v>
      </c>
      <c r="F386" s="5" t="s">
        <v>28</v>
      </c>
      <c r="G386" s="5">
        <v>4799</v>
      </c>
      <c r="H386" s="5" t="s">
        <v>29</v>
      </c>
      <c r="I386" s="5" t="s">
        <v>30</v>
      </c>
      <c r="J386" s="5">
        <v>1486706400</v>
      </c>
      <c r="K386" s="5">
        <v>1489039200</v>
      </c>
      <c r="L386" s="5" t="b">
        <v>1</v>
      </c>
      <c r="M386" s="5" t="b">
        <v>1</v>
      </c>
      <c r="N386" s="5" t="s">
        <v>50</v>
      </c>
      <c r="O386" s="8">
        <f t="shared" si="257"/>
        <v>1.7200961538461539</v>
      </c>
      <c r="P386" s="9">
        <f t="shared" si="259"/>
        <v>41.004167534903104</v>
      </c>
      <c r="Q386" s="5" t="str" cm="1">
        <f t="array" ref="Q386:R386">_xlfn.TEXTSPLIT(N386,"/")</f>
        <v>film &amp; video</v>
      </c>
      <c r="R386" t="str">
        <v>documentary</v>
      </c>
      <c r="S386" s="10">
        <f t="shared" ref="S386:T386" si="388">(((J386/60)/60)/24)+DATE(1970,1,1)</f>
        <v>42776.25</v>
      </c>
      <c r="T386" s="10">
        <f t="shared" si="388"/>
        <v>42803.25</v>
      </c>
    </row>
    <row r="387" spans="1:20" ht="15.75" customHeight="1" x14ac:dyDescent="0.25">
      <c r="A387" s="5">
        <v>385</v>
      </c>
      <c r="B387" s="6" t="s">
        <v>830</v>
      </c>
      <c r="C387" s="7" t="s">
        <v>831</v>
      </c>
      <c r="D387" s="5">
        <v>38900</v>
      </c>
      <c r="E387" s="5">
        <v>56859</v>
      </c>
      <c r="F387" s="5" t="s">
        <v>28</v>
      </c>
      <c r="G387" s="5">
        <v>1137</v>
      </c>
      <c r="H387" s="5" t="s">
        <v>29</v>
      </c>
      <c r="I387" s="5" t="s">
        <v>30</v>
      </c>
      <c r="J387" s="5">
        <v>1553835600</v>
      </c>
      <c r="K387" s="5">
        <v>1556600400</v>
      </c>
      <c r="L387" s="5" t="b">
        <v>0</v>
      </c>
      <c r="M387" s="5" t="b">
        <v>0</v>
      </c>
      <c r="N387" s="5" t="s">
        <v>76</v>
      </c>
      <c r="O387" s="8">
        <f t="shared" si="257"/>
        <v>1.4616709511568124</v>
      </c>
      <c r="P387" s="9">
        <f t="shared" si="259"/>
        <v>50.007915567282325</v>
      </c>
      <c r="Q387" s="5" t="str" cm="1">
        <f t="array" ref="Q387:R387">_xlfn.TEXTSPLIT(N387,"/")</f>
        <v>publishing</v>
      </c>
      <c r="R387" t="str">
        <v>nonfiction</v>
      </c>
      <c r="S387" s="10">
        <f t="shared" ref="S387:T387" si="389">(((J387/60)/60)/24)+DATE(1970,1,1)</f>
        <v>43553.208333333328</v>
      </c>
      <c r="T387" s="10">
        <f t="shared" si="389"/>
        <v>43585.208333333328</v>
      </c>
    </row>
    <row r="388" spans="1:20" ht="15.75" customHeight="1" x14ac:dyDescent="0.25">
      <c r="A388" s="5">
        <v>386</v>
      </c>
      <c r="B388" s="6" t="s">
        <v>832</v>
      </c>
      <c r="C388" s="7" t="s">
        <v>833</v>
      </c>
      <c r="D388" s="5">
        <v>135500</v>
      </c>
      <c r="E388" s="5">
        <v>103554</v>
      </c>
      <c r="F388" s="5" t="s">
        <v>22</v>
      </c>
      <c r="G388" s="5">
        <v>1068</v>
      </c>
      <c r="H388" s="5" t="s">
        <v>29</v>
      </c>
      <c r="I388" s="5" t="s">
        <v>30</v>
      </c>
      <c r="J388" s="5">
        <v>1277528400</v>
      </c>
      <c r="K388" s="5">
        <v>1278565200</v>
      </c>
      <c r="L388" s="5" t="b">
        <v>0</v>
      </c>
      <c r="M388" s="5" t="b">
        <v>0</v>
      </c>
      <c r="N388" s="5" t="s">
        <v>41</v>
      </c>
      <c r="O388" s="8">
        <f t="shared" si="257"/>
        <v>0.76423616236162362</v>
      </c>
      <c r="P388" s="9">
        <f t="shared" si="259"/>
        <v>96.960674157303373</v>
      </c>
      <c r="Q388" s="5" t="str" cm="1">
        <f t="array" ref="Q388:R388">_xlfn.TEXTSPLIT(N388,"/")</f>
        <v>theater</v>
      </c>
      <c r="R388" t="str">
        <v>plays</v>
      </c>
      <c r="S388" s="10">
        <f t="shared" ref="S388:T388" si="390">(((J388/60)/60)/24)+DATE(1970,1,1)</f>
        <v>40355.208333333336</v>
      </c>
      <c r="T388" s="10">
        <f t="shared" si="390"/>
        <v>40367.208333333336</v>
      </c>
    </row>
    <row r="389" spans="1:20" ht="15.75" customHeight="1" x14ac:dyDescent="0.25">
      <c r="A389" s="5">
        <v>387</v>
      </c>
      <c r="B389" s="6" t="s">
        <v>834</v>
      </c>
      <c r="C389" s="7" t="s">
        <v>835</v>
      </c>
      <c r="D389" s="5">
        <v>109000</v>
      </c>
      <c r="E389" s="5">
        <v>42795</v>
      </c>
      <c r="F389" s="5" t="s">
        <v>22</v>
      </c>
      <c r="G389" s="5">
        <v>424</v>
      </c>
      <c r="H389" s="5" t="s">
        <v>29</v>
      </c>
      <c r="I389" s="5" t="s">
        <v>30</v>
      </c>
      <c r="J389" s="5">
        <v>1339477200</v>
      </c>
      <c r="K389" s="5">
        <v>1339909200</v>
      </c>
      <c r="L389" s="5" t="b">
        <v>0</v>
      </c>
      <c r="M389" s="5" t="b">
        <v>0</v>
      </c>
      <c r="N389" s="5" t="s">
        <v>73</v>
      </c>
      <c r="O389" s="8">
        <f t="shared" si="257"/>
        <v>0.39261467889908258</v>
      </c>
      <c r="P389" s="9">
        <f t="shared" si="259"/>
        <v>100.93160377358491</v>
      </c>
      <c r="Q389" s="5" t="str" cm="1">
        <f t="array" ref="Q389:R389">_xlfn.TEXTSPLIT(N389,"/")</f>
        <v>technology</v>
      </c>
      <c r="R389" t="str">
        <v>wearables</v>
      </c>
      <c r="S389" s="10">
        <f t="shared" ref="S389:T389" si="391">(((J389/60)/60)/24)+DATE(1970,1,1)</f>
        <v>41072.208333333336</v>
      </c>
      <c r="T389" s="10">
        <f t="shared" si="391"/>
        <v>41077.208333333336</v>
      </c>
    </row>
    <row r="390" spans="1:20" ht="15.75" customHeight="1" x14ac:dyDescent="0.25">
      <c r="A390" s="5">
        <v>388</v>
      </c>
      <c r="B390" s="6" t="s">
        <v>836</v>
      </c>
      <c r="C390" s="7" t="s">
        <v>837</v>
      </c>
      <c r="D390" s="5">
        <v>114800</v>
      </c>
      <c r="E390" s="5">
        <v>12938</v>
      </c>
      <c r="F390" s="5" t="s">
        <v>82</v>
      </c>
      <c r="G390" s="5">
        <v>145</v>
      </c>
      <c r="H390" s="5" t="s">
        <v>106</v>
      </c>
      <c r="I390" s="5" t="s">
        <v>107</v>
      </c>
      <c r="J390" s="5">
        <v>1325656800</v>
      </c>
      <c r="K390" s="5">
        <v>1325829600</v>
      </c>
      <c r="L390" s="5" t="b">
        <v>0</v>
      </c>
      <c r="M390" s="5" t="b">
        <v>0</v>
      </c>
      <c r="N390" s="5" t="s">
        <v>68</v>
      </c>
      <c r="O390" s="8">
        <f t="shared" si="257"/>
        <v>0.11270034843205574</v>
      </c>
      <c r="P390" s="9">
        <f t="shared" si="259"/>
        <v>89.227586206896547</v>
      </c>
      <c r="Q390" s="5" t="str" cm="1">
        <f t="array" ref="Q390:R390">_xlfn.TEXTSPLIT(N390,"/")</f>
        <v>music</v>
      </c>
      <c r="R390" t="str">
        <v>indie rock</v>
      </c>
      <c r="S390" s="10">
        <f t="shared" ref="S390:T390" si="392">(((J390/60)/60)/24)+DATE(1970,1,1)</f>
        <v>40912.25</v>
      </c>
      <c r="T390" s="10">
        <f t="shared" si="392"/>
        <v>40914.25</v>
      </c>
    </row>
    <row r="391" spans="1:20" ht="15.75" customHeight="1" x14ac:dyDescent="0.25">
      <c r="A391" s="5">
        <v>389</v>
      </c>
      <c r="B391" s="6" t="s">
        <v>838</v>
      </c>
      <c r="C391" s="7" t="s">
        <v>839</v>
      </c>
      <c r="D391" s="5">
        <v>83000</v>
      </c>
      <c r="E391" s="5">
        <v>101352</v>
      </c>
      <c r="F391" s="5" t="s">
        <v>28</v>
      </c>
      <c r="G391" s="5">
        <v>1152</v>
      </c>
      <c r="H391" s="5" t="s">
        <v>29</v>
      </c>
      <c r="I391" s="5" t="s">
        <v>30</v>
      </c>
      <c r="J391" s="5">
        <v>1288242000</v>
      </c>
      <c r="K391" s="5">
        <v>1290578400</v>
      </c>
      <c r="L391" s="5" t="b">
        <v>0</v>
      </c>
      <c r="M391" s="5" t="b">
        <v>0</v>
      </c>
      <c r="N391" s="5" t="s">
        <v>41</v>
      </c>
      <c r="O391" s="8">
        <f t="shared" si="257"/>
        <v>1.2211084337349398</v>
      </c>
      <c r="P391" s="9">
        <f t="shared" si="259"/>
        <v>87.979166666666671</v>
      </c>
      <c r="Q391" s="5" t="str" cm="1">
        <f t="array" ref="Q391:R391">_xlfn.TEXTSPLIT(N391,"/")</f>
        <v>theater</v>
      </c>
      <c r="R391" t="str">
        <v>plays</v>
      </c>
      <c r="S391" s="10">
        <f t="shared" ref="S391:T391" si="393">(((J391/60)/60)/24)+DATE(1970,1,1)</f>
        <v>40479.208333333336</v>
      </c>
      <c r="T391" s="10">
        <f t="shared" si="393"/>
        <v>40506.25</v>
      </c>
    </row>
    <row r="392" spans="1:20" ht="15.75" customHeight="1" x14ac:dyDescent="0.25">
      <c r="A392" s="5">
        <v>390</v>
      </c>
      <c r="B392" s="6" t="s">
        <v>840</v>
      </c>
      <c r="C392" s="7" t="s">
        <v>841</v>
      </c>
      <c r="D392" s="5">
        <v>2400</v>
      </c>
      <c r="E392" s="5">
        <v>4477</v>
      </c>
      <c r="F392" s="5" t="s">
        <v>28</v>
      </c>
      <c r="G392" s="5">
        <v>50</v>
      </c>
      <c r="H392" s="5" t="s">
        <v>29</v>
      </c>
      <c r="I392" s="5" t="s">
        <v>30</v>
      </c>
      <c r="J392" s="5">
        <v>1379048400</v>
      </c>
      <c r="K392" s="5">
        <v>1380344400</v>
      </c>
      <c r="L392" s="5" t="b">
        <v>0</v>
      </c>
      <c r="M392" s="5" t="b">
        <v>0</v>
      </c>
      <c r="N392" s="5" t="s">
        <v>130</v>
      </c>
      <c r="O392" s="8">
        <f t="shared" si="257"/>
        <v>1.8654166666666667</v>
      </c>
      <c r="P392" s="9">
        <f t="shared" si="259"/>
        <v>89.54</v>
      </c>
      <c r="Q392" s="5" t="str" cm="1">
        <f t="array" ref="Q392:R392">_xlfn.TEXTSPLIT(N392,"/")</f>
        <v>photography</v>
      </c>
      <c r="R392" t="str">
        <v>photography books</v>
      </c>
      <c r="S392" s="10">
        <f t="shared" ref="S392:T392" si="394">(((J392/60)/60)/24)+DATE(1970,1,1)</f>
        <v>41530.208333333336</v>
      </c>
      <c r="T392" s="10">
        <f t="shared" si="394"/>
        <v>41545.208333333336</v>
      </c>
    </row>
    <row r="393" spans="1:20" ht="15.75" customHeight="1" x14ac:dyDescent="0.25">
      <c r="A393" s="5">
        <v>391</v>
      </c>
      <c r="B393" s="6" t="s">
        <v>842</v>
      </c>
      <c r="C393" s="7" t="s">
        <v>843</v>
      </c>
      <c r="D393" s="5">
        <v>60400</v>
      </c>
      <c r="E393" s="5">
        <v>4393</v>
      </c>
      <c r="F393" s="5" t="s">
        <v>22</v>
      </c>
      <c r="G393" s="5">
        <v>151</v>
      </c>
      <c r="H393" s="5" t="s">
        <v>29</v>
      </c>
      <c r="I393" s="5" t="s">
        <v>30</v>
      </c>
      <c r="J393" s="5">
        <v>1389679200</v>
      </c>
      <c r="K393" s="5">
        <v>1389852000</v>
      </c>
      <c r="L393" s="5" t="b">
        <v>0</v>
      </c>
      <c r="M393" s="5" t="b">
        <v>0</v>
      </c>
      <c r="N393" s="5" t="s">
        <v>76</v>
      </c>
      <c r="O393" s="8">
        <f t="shared" si="257"/>
        <v>7.27317880794702E-2</v>
      </c>
      <c r="P393" s="9">
        <f t="shared" si="259"/>
        <v>29.09271523178808</v>
      </c>
      <c r="Q393" s="5" t="str" cm="1">
        <f t="array" ref="Q393:R393">_xlfn.TEXTSPLIT(N393,"/")</f>
        <v>publishing</v>
      </c>
      <c r="R393" t="str">
        <v>nonfiction</v>
      </c>
      <c r="S393" s="10">
        <f t="shared" ref="S393:T393" si="395">(((J393/60)/60)/24)+DATE(1970,1,1)</f>
        <v>41653.25</v>
      </c>
      <c r="T393" s="10">
        <f t="shared" si="395"/>
        <v>41655.25</v>
      </c>
    </row>
    <row r="394" spans="1:20" ht="15.75" customHeight="1" x14ac:dyDescent="0.25">
      <c r="A394" s="5">
        <v>392</v>
      </c>
      <c r="B394" s="6" t="s">
        <v>844</v>
      </c>
      <c r="C394" s="7" t="s">
        <v>845</v>
      </c>
      <c r="D394" s="5">
        <v>102900</v>
      </c>
      <c r="E394" s="5">
        <v>67546</v>
      </c>
      <c r="F394" s="5" t="s">
        <v>22</v>
      </c>
      <c r="G394" s="5">
        <v>1608</v>
      </c>
      <c r="H394" s="5" t="s">
        <v>29</v>
      </c>
      <c r="I394" s="5" t="s">
        <v>30</v>
      </c>
      <c r="J394" s="5">
        <v>1294293600</v>
      </c>
      <c r="K394" s="5">
        <v>1294466400</v>
      </c>
      <c r="L394" s="5" t="b">
        <v>0</v>
      </c>
      <c r="M394" s="5" t="b">
        <v>0</v>
      </c>
      <c r="N394" s="5" t="s">
        <v>73</v>
      </c>
      <c r="O394" s="8">
        <f t="shared" si="257"/>
        <v>0.65642371234207963</v>
      </c>
      <c r="P394" s="9">
        <f t="shared" si="259"/>
        <v>42.006218905472636</v>
      </c>
      <c r="Q394" s="5" t="str" cm="1">
        <f t="array" ref="Q394:R394">_xlfn.TEXTSPLIT(N394,"/")</f>
        <v>technology</v>
      </c>
      <c r="R394" t="str">
        <v>wearables</v>
      </c>
      <c r="S394" s="10">
        <f t="shared" ref="S394:T394" si="396">(((J394/60)/60)/24)+DATE(1970,1,1)</f>
        <v>40549.25</v>
      </c>
      <c r="T394" s="10">
        <f t="shared" si="396"/>
        <v>40551.25</v>
      </c>
    </row>
    <row r="395" spans="1:20" ht="15.75" customHeight="1" x14ac:dyDescent="0.25">
      <c r="A395" s="5">
        <v>393</v>
      </c>
      <c r="B395" s="6" t="s">
        <v>846</v>
      </c>
      <c r="C395" s="7" t="s">
        <v>847</v>
      </c>
      <c r="D395" s="5">
        <v>62800</v>
      </c>
      <c r="E395" s="5">
        <v>143788</v>
      </c>
      <c r="F395" s="5" t="s">
        <v>28</v>
      </c>
      <c r="G395" s="5">
        <v>3059</v>
      </c>
      <c r="H395" s="5" t="s">
        <v>23</v>
      </c>
      <c r="I395" s="5" t="s">
        <v>24</v>
      </c>
      <c r="J395" s="5">
        <v>1500267600</v>
      </c>
      <c r="K395" s="5">
        <v>1500354000</v>
      </c>
      <c r="L395" s="5" t="b">
        <v>0</v>
      </c>
      <c r="M395" s="5" t="b">
        <v>0</v>
      </c>
      <c r="N395" s="5" t="s">
        <v>167</v>
      </c>
      <c r="O395" s="8">
        <f t="shared" si="257"/>
        <v>2.2896178343949045</v>
      </c>
      <c r="P395" s="9">
        <f t="shared" si="259"/>
        <v>47.004903563255965</v>
      </c>
      <c r="Q395" s="5" t="str" cm="1">
        <f t="array" ref="Q395:R395">_xlfn.TEXTSPLIT(N395,"/")</f>
        <v>music</v>
      </c>
      <c r="R395" t="str">
        <v>jazz</v>
      </c>
      <c r="S395" s="10">
        <f t="shared" ref="S395:T395" si="397">(((J395/60)/60)/24)+DATE(1970,1,1)</f>
        <v>42933.208333333328</v>
      </c>
      <c r="T395" s="10">
        <f t="shared" si="397"/>
        <v>42934.208333333328</v>
      </c>
    </row>
    <row r="396" spans="1:20" ht="15.75" customHeight="1" x14ac:dyDescent="0.25">
      <c r="A396" s="5">
        <v>394</v>
      </c>
      <c r="B396" s="6" t="s">
        <v>848</v>
      </c>
      <c r="C396" s="7" t="s">
        <v>849</v>
      </c>
      <c r="D396" s="5">
        <v>800</v>
      </c>
      <c r="E396" s="5">
        <v>3755</v>
      </c>
      <c r="F396" s="5" t="s">
        <v>28</v>
      </c>
      <c r="G396" s="5">
        <v>34</v>
      </c>
      <c r="H396" s="5" t="s">
        <v>29</v>
      </c>
      <c r="I396" s="5" t="s">
        <v>30</v>
      </c>
      <c r="J396" s="5">
        <v>1375074000</v>
      </c>
      <c r="K396" s="5">
        <v>1375938000</v>
      </c>
      <c r="L396" s="5" t="b">
        <v>0</v>
      </c>
      <c r="M396" s="5" t="b">
        <v>1</v>
      </c>
      <c r="N396" s="5" t="s">
        <v>50</v>
      </c>
      <c r="O396" s="8">
        <f t="shared" si="257"/>
        <v>4.6937499999999996</v>
      </c>
      <c r="P396" s="9">
        <f t="shared" si="259"/>
        <v>110.44117647058823</v>
      </c>
      <c r="Q396" s="5" t="str" cm="1">
        <f t="array" ref="Q396:R396">_xlfn.TEXTSPLIT(N396,"/")</f>
        <v>film &amp; video</v>
      </c>
      <c r="R396" t="str">
        <v>documentary</v>
      </c>
      <c r="S396" s="10">
        <f t="shared" ref="S396:T396" si="398">(((J396/60)/60)/24)+DATE(1970,1,1)</f>
        <v>41484.208333333336</v>
      </c>
      <c r="T396" s="10">
        <f t="shared" si="398"/>
        <v>41494.208333333336</v>
      </c>
    </row>
    <row r="397" spans="1:20" ht="15.75" customHeight="1" x14ac:dyDescent="0.25">
      <c r="A397" s="5">
        <v>395</v>
      </c>
      <c r="B397" s="6" t="s">
        <v>303</v>
      </c>
      <c r="C397" s="7" t="s">
        <v>850</v>
      </c>
      <c r="D397" s="5">
        <v>7100</v>
      </c>
      <c r="E397" s="5">
        <v>9238</v>
      </c>
      <c r="F397" s="5" t="s">
        <v>28</v>
      </c>
      <c r="G397" s="5">
        <v>220</v>
      </c>
      <c r="H397" s="5" t="s">
        <v>29</v>
      </c>
      <c r="I397" s="5" t="s">
        <v>30</v>
      </c>
      <c r="J397" s="5">
        <v>1323324000</v>
      </c>
      <c r="K397" s="5">
        <v>1323410400</v>
      </c>
      <c r="L397" s="5" t="b">
        <v>1</v>
      </c>
      <c r="M397" s="5" t="b">
        <v>0</v>
      </c>
      <c r="N397" s="5" t="s">
        <v>41</v>
      </c>
      <c r="O397" s="8">
        <f t="shared" si="257"/>
        <v>1.3011267605633803</v>
      </c>
      <c r="P397" s="9">
        <f t="shared" si="259"/>
        <v>41.990909090909092</v>
      </c>
      <c r="Q397" s="5" t="str" cm="1">
        <f t="array" ref="Q397:R397">_xlfn.TEXTSPLIT(N397,"/")</f>
        <v>theater</v>
      </c>
      <c r="R397" t="str">
        <v>plays</v>
      </c>
      <c r="S397" s="10">
        <f t="shared" ref="S397:T397" si="399">(((J397/60)/60)/24)+DATE(1970,1,1)</f>
        <v>40885.25</v>
      </c>
      <c r="T397" s="10">
        <f t="shared" si="399"/>
        <v>40886.25</v>
      </c>
    </row>
    <row r="398" spans="1:20" ht="15.75" customHeight="1" x14ac:dyDescent="0.25">
      <c r="A398" s="5">
        <v>396</v>
      </c>
      <c r="B398" s="6" t="s">
        <v>851</v>
      </c>
      <c r="C398" s="7" t="s">
        <v>852</v>
      </c>
      <c r="D398" s="5">
        <v>46100</v>
      </c>
      <c r="E398" s="5">
        <v>77012</v>
      </c>
      <c r="F398" s="5" t="s">
        <v>28</v>
      </c>
      <c r="G398" s="5">
        <v>1604</v>
      </c>
      <c r="H398" s="5" t="s">
        <v>34</v>
      </c>
      <c r="I398" s="5" t="s">
        <v>35</v>
      </c>
      <c r="J398" s="5">
        <v>1538715600</v>
      </c>
      <c r="K398" s="5">
        <v>1539406800</v>
      </c>
      <c r="L398" s="5" t="b">
        <v>0</v>
      </c>
      <c r="M398" s="5" t="b">
        <v>0</v>
      </c>
      <c r="N398" s="5" t="s">
        <v>61</v>
      </c>
      <c r="O398" s="8">
        <f t="shared" si="257"/>
        <v>1.6705422993492407</v>
      </c>
      <c r="P398" s="9">
        <f t="shared" si="259"/>
        <v>48.012468827930178</v>
      </c>
      <c r="Q398" s="5" t="str" cm="1">
        <f t="array" ref="Q398:R398">_xlfn.TEXTSPLIT(N398,"/")</f>
        <v>film &amp; video</v>
      </c>
      <c r="R398" t="str">
        <v>drama</v>
      </c>
      <c r="S398" s="10">
        <f t="shared" ref="S398:T398" si="400">(((J398/60)/60)/24)+DATE(1970,1,1)</f>
        <v>43378.208333333328</v>
      </c>
      <c r="T398" s="10">
        <f t="shared" si="400"/>
        <v>43386.208333333328</v>
      </c>
    </row>
    <row r="399" spans="1:20" ht="15.75" customHeight="1" x14ac:dyDescent="0.25">
      <c r="A399" s="5">
        <v>397</v>
      </c>
      <c r="B399" s="6" t="s">
        <v>853</v>
      </c>
      <c r="C399" s="7" t="s">
        <v>854</v>
      </c>
      <c r="D399" s="5">
        <v>8100</v>
      </c>
      <c r="E399" s="5">
        <v>14083</v>
      </c>
      <c r="F399" s="5" t="s">
        <v>28</v>
      </c>
      <c r="G399" s="5">
        <v>454</v>
      </c>
      <c r="H399" s="5" t="s">
        <v>29</v>
      </c>
      <c r="I399" s="5" t="s">
        <v>30</v>
      </c>
      <c r="J399" s="5">
        <v>1369285200</v>
      </c>
      <c r="K399" s="5">
        <v>1369803600</v>
      </c>
      <c r="L399" s="5" t="b">
        <v>0</v>
      </c>
      <c r="M399" s="5" t="b">
        <v>0</v>
      </c>
      <c r="N399" s="5" t="s">
        <v>31</v>
      </c>
      <c r="O399" s="8">
        <f t="shared" si="257"/>
        <v>1.738641975308642</v>
      </c>
      <c r="P399" s="9">
        <f t="shared" si="259"/>
        <v>31.019823788546255</v>
      </c>
      <c r="Q399" s="5" t="str" cm="1">
        <f t="array" ref="Q399:R399">_xlfn.TEXTSPLIT(N399,"/")</f>
        <v>music</v>
      </c>
      <c r="R399" t="str">
        <v>rock</v>
      </c>
      <c r="S399" s="10">
        <f t="shared" ref="S399:T399" si="401">(((J399/60)/60)/24)+DATE(1970,1,1)</f>
        <v>41417.208333333336</v>
      </c>
      <c r="T399" s="10">
        <f t="shared" si="401"/>
        <v>41423.208333333336</v>
      </c>
    </row>
    <row r="400" spans="1:20" ht="15.75" customHeight="1" x14ac:dyDescent="0.25">
      <c r="A400" s="5">
        <v>398</v>
      </c>
      <c r="B400" s="6" t="s">
        <v>855</v>
      </c>
      <c r="C400" s="7" t="s">
        <v>856</v>
      </c>
      <c r="D400" s="5">
        <v>1700</v>
      </c>
      <c r="E400" s="5">
        <v>12202</v>
      </c>
      <c r="F400" s="5" t="s">
        <v>28</v>
      </c>
      <c r="G400" s="5">
        <v>123</v>
      </c>
      <c r="H400" s="5" t="s">
        <v>115</v>
      </c>
      <c r="I400" s="5" t="s">
        <v>116</v>
      </c>
      <c r="J400" s="5">
        <v>1525755600</v>
      </c>
      <c r="K400" s="5">
        <v>1525928400</v>
      </c>
      <c r="L400" s="5" t="b">
        <v>0</v>
      </c>
      <c r="M400" s="5" t="b">
        <v>1</v>
      </c>
      <c r="N400" s="5" t="s">
        <v>79</v>
      </c>
      <c r="O400" s="8">
        <f t="shared" si="257"/>
        <v>7.1776470588235295</v>
      </c>
      <c r="P400" s="9">
        <f t="shared" si="259"/>
        <v>99.203252032520325</v>
      </c>
      <c r="Q400" s="5" t="str" cm="1">
        <f t="array" ref="Q400:R400">_xlfn.TEXTSPLIT(N400,"/")</f>
        <v>film &amp; video</v>
      </c>
      <c r="R400" t="str">
        <v>animation</v>
      </c>
      <c r="S400" s="10">
        <f t="shared" ref="S400:T400" si="402">(((J400/60)/60)/24)+DATE(1970,1,1)</f>
        <v>43228.208333333328</v>
      </c>
      <c r="T400" s="10">
        <f t="shared" si="402"/>
        <v>43230.208333333328</v>
      </c>
    </row>
    <row r="401" spans="1:20" ht="15.75" customHeight="1" x14ac:dyDescent="0.25">
      <c r="A401" s="5">
        <v>399</v>
      </c>
      <c r="B401" s="6" t="s">
        <v>857</v>
      </c>
      <c r="C401" s="7" t="s">
        <v>858</v>
      </c>
      <c r="D401" s="5">
        <v>97300</v>
      </c>
      <c r="E401" s="5">
        <v>62127</v>
      </c>
      <c r="F401" s="5" t="s">
        <v>22</v>
      </c>
      <c r="G401" s="5">
        <v>941</v>
      </c>
      <c r="H401" s="5" t="s">
        <v>29</v>
      </c>
      <c r="I401" s="5" t="s">
        <v>30</v>
      </c>
      <c r="J401" s="5">
        <v>1296626400</v>
      </c>
      <c r="K401" s="5">
        <v>1297231200</v>
      </c>
      <c r="L401" s="5" t="b">
        <v>0</v>
      </c>
      <c r="M401" s="5" t="b">
        <v>0</v>
      </c>
      <c r="N401" s="5" t="s">
        <v>68</v>
      </c>
      <c r="O401" s="8">
        <f t="shared" si="257"/>
        <v>0.63850976361767731</v>
      </c>
      <c r="P401" s="9">
        <f t="shared" si="259"/>
        <v>66.022316684378325</v>
      </c>
      <c r="Q401" s="5" t="str" cm="1">
        <f t="array" ref="Q401:R401">_xlfn.TEXTSPLIT(N401,"/")</f>
        <v>music</v>
      </c>
      <c r="R401" t="str">
        <v>indie rock</v>
      </c>
      <c r="S401" s="10">
        <f t="shared" ref="S401:T401" si="403">(((J401/60)/60)/24)+DATE(1970,1,1)</f>
        <v>40576.25</v>
      </c>
      <c r="T401" s="10">
        <f t="shared" si="403"/>
        <v>40583.25</v>
      </c>
    </row>
    <row r="402" spans="1:20" ht="15.75" customHeight="1" x14ac:dyDescent="0.25">
      <c r="A402" s="5">
        <v>400</v>
      </c>
      <c r="B402" s="6" t="s">
        <v>859</v>
      </c>
      <c r="C402" s="7" t="s">
        <v>860</v>
      </c>
      <c r="D402" s="5">
        <v>100</v>
      </c>
      <c r="E402" s="5">
        <v>2</v>
      </c>
      <c r="F402" s="5" t="s">
        <v>22</v>
      </c>
      <c r="G402" s="5">
        <v>1</v>
      </c>
      <c r="H402" s="5" t="s">
        <v>29</v>
      </c>
      <c r="I402" s="5" t="s">
        <v>30</v>
      </c>
      <c r="J402" s="5">
        <v>1376629200</v>
      </c>
      <c r="K402" s="5">
        <v>1378530000</v>
      </c>
      <c r="L402" s="5" t="b">
        <v>0</v>
      </c>
      <c r="M402" s="5" t="b">
        <v>1</v>
      </c>
      <c r="N402" s="5" t="s">
        <v>130</v>
      </c>
      <c r="O402" s="8">
        <f t="shared" si="257"/>
        <v>0.02</v>
      </c>
      <c r="P402" s="9">
        <f t="shared" si="259"/>
        <v>2</v>
      </c>
      <c r="Q402" s="5" t="str" cm="1">
        <f t="array" ref="Q402:R402">_xlfn.TEXTSPLIT(N402,"/")</f>
        <v>photography</v>
      </c>
      <c r="R402" t="str">
        <v>photography books</v>
      </c>
      <c r="S402" s="10">
        <f t="shared" ref="S402:T402" si="404">(((J402/60)/60)/24)+DATE(1970,1,1)</f>
        <v>41502.208333333336</v>
      </c>
      <c r="T402" s="10">
        <f t="shared" si="404"/>
        <v>41524.208333333336</v>
      </c>
    </row>
    <row r="403" spans="1:20" ht="15.75" customHeight="1" x14ac:dyDescent="0.25">
      <c r="A403" s="5">
        <v>401</v>
      </c>
      <c r="B403" s="6" t="s">
        <v>861</v>
      </c>
      <c r="C403" s="7" t="s">
        <v>862</v>
      </c>
      <c r="D403" s="5">
        <v>900</v>
      </c>
      <c r="E403" s="5">
        <v>13772</v>
      </c>
      <c r="F403" s="5" t="s">
        <v>28</v>
      </c>
      <c r="G403" s="5">
        <v>299</v>
      </c>
      <c r="H403" s="5" t="s">
        <v>29</v>
      </c>
      <c r="I403" s="5" t="s">
        <v>30</v>
      </c>
      <c r="J403" s="5">
        <v>1572152400</v>
      </c>
      <c r="K403" s="5">
        <v>1572152400</v>
      </c>
      <c r="L403" s="5" t="b">
        <v>0</v>
      </c>
      <c r="M403" s="5" t="b">
        <v>0</v>
      </c>
      <c r="N403" s="5" t="s">
        <v>41</v>
      </c>
      <c r="O403" s="8">
        <f t="shared" si="257"/>
        <v>15.302222222222222</v>
      </c>
      <c r="P403" s="9">
        <f t="shared" si="259"/>
        <v>46.060200668896321</v>
      </c>
      <c r="Q403" s="5" t="str" cm="1">
        <f t="array" ref="Q403:R403">_xlfn.TEXTSPLIT(N403,"/")</f>
        <v>theater</v>
      </c>
      <c r="R403" t="str">
        <v>plays</v>
      </c>
      <c r="S403" s="10">
        <f t="shared" ref="S403:T403" si="405">(((J403/60)/60)/24)+DATE(1970,1,1)</f>
        <v>43765.208333333328</v>
      </c>
      <c r="T403" s="10">
        <f t="shared" si="405"/>
        <v>43765.208333333328</v>
      </c>
    </row>
    <row r="404" spans="1:20" ht="15.75" customHeight="1" x14ac:dyDescent="0.25">
      <c r="A404" s="5">
        <v>402</v>
      </c>
      <c r="B404" s="6" t="s">
        <v>863</v>
      </c>
      <c r="C404" s="7" t="s">
        <v>864</v>
      </c>
      <c r="D404" s="5">
        <v>7300</v>
      </c>
      <c r="E404" s="5">
        <v>2946</v>
      </c>
      <c r="F404" s="5" t="s">
        <v>22</v>
      </c>
      <c r="G404" s="5">
        <v>40</v>
      </c>
      <c r="H404" s="5" t="s">
        <v>29</v>
      </c>
      <c r="I404" s="5" t="s">
        <v>30</v>
      </c>
      <c r="J404" s="5">
        <v>1325829600</v>
      </c>
      <c r="K404" s="5">
        <v>1329890400</v>
      </c>
      <c r="L404" s="5" t="b">
        <v>0</v>
      </c>
      <c r="M404" s="5" t="b">
        <v>1</v>
      </c>
      <c r="N404" s="5" t="s">
        <v>108</v>
      </c>
      <c r="O404" s="8">
        <f t="shared" si="257"/>
        <v>0.40356164383561643</v>
      </c>
      <c r="P404" s="9">
        <f t="shared" si="259"/>
        <v>73.650000000000006</v>
      </c>
      <c r="Q404" s="5" t="str" cm="1">
        <f t="array" ref="Q404:R404">_xlfn.TEXTSPLIT(N404,"/")</f>
        <v>film &amp; video</v>
      </c>
      <c r="R404" t="str">
        <v>shorts</v>
      </c>
      <c r="S404" s="10">
        <f t="shared" ref="S404:T404" si="406">(((J404/60)/60)/24)+DATE(1970,1,1)</f>
        <v>40914.25</v>
      </c>
      <c r="T404" s="10">
        <f t="shared" si="406"/>
        <v>40961.25</v>
      </c>
    </row>
    <row r="405" spans="1:20" ht="15.75" customHeight="1" x14ac:dyDescent="0.25">
      <c r="A405" s="5">
        <v>403</v>
      </c>
      <c r="B405" s="6" t="s">
        <v>865</v>
      </c>
      <c r="C405" s="7" t="s">
        <v>866</v>
      </c>
      <c r="D405" s="5">
        <v>195800</v>
      </c>
      <c r="E405" s="5">
        <v>168820</v>
      </c>
      <c r="F405" s="5" t="s">
        <v>22</v>
      </c>
      <c r="G405" s="5">
        <v>3015</v>
      </c>
      <c r="H405" s="5" t="s">
        <v>23</v>
      </c>
      <c r="I405" s="5" t="s">
        <v>24</v>
      </c>
      <c r="J405" s="5">
        <v>1273640400</v>
      </c>
      <c r="K405" s="5">
        <v>1276750800</v>
      </c>
      <c r="L405" s="5" t="b">
        <v>0</v>
      </c>
      <c r="M405" s="5" t="b">
        <v>1</v>
      </c>
      <c r="N405" s="5" t="s">
        <v>41</v>
      </c>
      <c r="O405" s="8">
        <f t="shared" si="257"/>
        <v>0.86220633299284988</v>
      </c>
      <c r="P405" s="9">
        <f t="shared" si="259"/>
        <v>55.99336650082919</v>
      </c>
      <c r="Q405" s="5" t="str" cm="1">
        <f t="array" ref="Q405:R405">_xlfn.TEXTSPLIT(N405,"/")</f>
        <v>theater</v>
      </c>
      <c r="R405" t="str">
        <v>plays</v>
      </c>
      <c r="S405" s="10">
        <f t="shared" ref="S405:T405" si="407">(((J405/60)/60)/24)+DATE(1970,1,1)</f>
        <v>40310.208333333336</v>
      </c>
      <c r="T405" s="10">
        <f t="shared" si="407"/>
        <v>40346.208333333336</v>
      </c>
    </row>
    <row r="406" spans="1:20" ht="15.75" customHeight="1" x14ac:dyDescent="0.25">
      <c r="A406" s="5">
        <v>404</v>
      </c>
      <c r="B406" s="6" t="s">
        <v>867</v>
      </c>
      <c r="C406" s="7" t="s">
        <v>868</v>
      </c>
      <c r="D406" s="5">
        <v>48900</v>
      </c>
      <c r="E406" s="5">
        <v>154321</v>
      </c>
      <c r="F406" s="5" t="s">
        <v>28</v>
      </c>
      <c r="G406" s="5">
        <v>2237</v>
      </c>
      <c r="H406" s="5" t="s">
        <v>29</v>
      </c>
      <c r="I406" s="5" t="s">
        <v>30</v>
      </c>
      <c r="J406" s="5">
        <v>1510639200</v>
      </c>
      <c r="K406" s="5">
        <v>1510898400</v>
      </c>
      <c r="L406" s="5" t="b">
        <v>0</v>
      </c>
      <c r="M406" s="5" t="b">
        <v>0</v>
      </c>
      <c r="N406" s="5" t="s">
        <v>41</v>
      </c>
      <c r="O406" s="8">
        <f t="shared" si="257"/>
        <v>3.1558486707566464</v>
      </c>
      <c r="P406" s="9">
        <f t="shared" si="259"/>
        <v>68.985695127402778</v>
      </c>
      <c r="Q406" s="5" t="str" cm="1">
        <f t="array" ref="Q406:R406">_xlfn.TEXTSPLIT(N406,"/")</f>
        <v>theater</v>
      </c>
      <c r="R406" t="str">
        <v>plays</v>
      </c>
      <c r="S406" s="10">
        <f t="shared" ref="S406:T406" si="408">(((J406/60)/60)/24)+DATE(1970,1,1)</f>
        <v>43053.25</v>
      </c>
      <c r="T406" s="10">
        <f t="shared" si="408"/>
        <v>43056.25</v>
      </c>
    </row>
    <row r="407" spans="1:20" ht="15.75" customHeight="1" x14ac:dyDescent="0.25">
      <c r="A407" s="5">
        <v>405</v>
      </c>
      <c r="B407" s="6" t="s">
        <v>869</v>
      </c>
      <c r="C407" s="7" t="s">
        <v>870</v>
      </c>
      <c r="D407" s="5">
        <v>29600</v>
      </c>
      <c r="E407" s="5">
        <v>26527</v>
      </c>
      <c r="F407" s="5" t="s">
        <v>22</v>
      </c>
      <c r="G407" s="5">
        <v>435</v>
      </c>
      <c r="H407" s="5" t="s">
        <v>29</v>
      </c>
      <c r="I407" s="5" t="s">
        <v>30</v>
      </c>
      <c r="J407" s="5">
        <v>1528088400</v>
      </c>
      <c r="K407" s="5">
        <v>1532408400</v>
      </c>
      <c r="L407" s="5" t="b">
        <v>0</v>
      </c>
      <c r="M407" s="5" t="b">
        <v>0</v>
      </c>
      <c r="N407" s="5" t="s">
        <v>41</v>
      </c>
      <c r="O407" s="8">
        <f t="shared" si="257"/>
        <v>0.89618243243243245</v>
      </c>
      <c r="P407" s="9">
        <f t="shared" si="259"/>
        <v>60.981609195402299</v>
      </c>
      <c r="Q407" s="5" t="str" cm="1">
        <f t="array" ref="Q407:R407">_xlfn.TEXTSPLIT(N407,"/")</f>
        <v>theater</v>
      </c>
      <c r="R407" t="str">
        <v>plays</v>
      </c>
      <c r="S407" s="10">
        <f t="shared" ref="S407:T407" si="409">(((J407/60)/60)/24)+DATE(1970,1,1)</f>
        <v>43255.208333333328</v>
      </c>
      <c r="T407" s="10">
        <f t="shared" si="409"/>
        <v>43305.208333333328</v>
      </c>
    </row>
    <row r="408" spans="1:20" ht="15.75" customHeight="1" x14ac:dyDescent="0.25">
      <c r="A408" s="5">
        <v>406</v>
      </c>
      <c r="B408" s="6" t="s">
        <v>871</v>
      </c>
      <c r="C408" s="7" t="s">
        <v>872</v>
      </c>
      <c r="D408" s="5">
        <v>39300</v>
      </c>
      <c r="E408" s="5">
        <v>71583</v>
      </c>
      <c r="F408" s="5" t="s">
        <v>28</v>
      </c>
      <c r="G408" s="5">
        <v>645</v>
      </c>
      <c r="H408" s="5" t="s">
        <v>29</v>
      </c>
      <c r="I408" s="5" t="s">
        <v>30</v>
      </c>
      <c r="J408" s="5">
        <v>1359525600</v>
      </c>
      <c r="K408" s="5">
        <v>1360562400</v>
      </c>
      <c r="L408" s="5" t="b">
        <v>1</v>
      </c>
      <c r="M408" s="5" t="b">
        <v>0</v>
      </c>
      <c r="N408" s="5" t="s">
        <v>50</v>
      </c>
      <c r="O408" s="8">
        <f t="shared" si="257"/>
        <v>1.8214503816793892</v>
      </c>
      <c r="P408" s="9">
        <f t="shared" si="259"/>
        <v>110.98139534883721</v>
      </c>
      <c r="Q408" s="5" t="str" cm="1">
        <f t="array" ref="Q408:R408">_xlfn.TEXTSPLIT(N408,"/")</f>
        <v>film &amp; video</v>
      </c>
      <c r="R408" t="str">
        <v>documentary</v>
      </c>
      <c r="S408" s="10">
        <f t="shared" ref="S408:T408" si="410">(((J408/60)/60)/24)+DATE(1970,1,1)</f>
        <v>41304.25</v>
      </c>
      <c r="T408" s="10">
        <f t="shared" si="410"/>
        <v>41316.25</v>
      </c>
    </row>
    <row r="409" spans="1:20" ht="15.75" customHeight="1" x14ac:dyDescent="0.25">
      <c r="A409" s="5">
        <v>407</v>
      </c>
      <c r="B409" s="6" t="s">
        <v>873</v>
      </c>
      <c r="C409" s="7" t="s">
        <v>874</v>
      </c>
      <c r="D409" s="5">
        <v>3400</v>
      </c>
      <c r="E409" s="5">
        <v>12100</v>
      </c>
      <c r="F409" s="5" t="s">
        <v>28</v>
      </c>
      <c r="G409" s="5">
        <v>484</v>
      </c>
      <c r="H409" s="5" t="s">
        <v>44</v>
      </c>
      <c r="I409" s="5" t="s">
        <v>45</v>
      </c>
      <c r="J409" s="5">
        <v>1570942800</v>
      </c>
      <c r="K409" s="5">
        <v>1571547600</v>
      </c>
      <c r="L409" s="5" t="b">
        <v>0</v>
      </c>
      <c r="M409" s="5" t="b">
        <v>0</v>
      </c>
      <c r="N409" s="5" t="s">
        <v>41</v>
      </c>
      <c r="O409" s="8">
        <f t="shared" si="257"/>
        <v>3.5588235294117645</v>
      </c>
      <c r="P409" s="9">
        <f t="shared" si="259"/>
        <v>25</v>
      </c>
      <c r="Q409" s="5" t="str" cm="1">
        <f t="array" ref="Q409:R409">_xlfn.TEXTSPLIT(N409,"/")</f>
        <v>theater</v>
      </c>
      <c r="R409" t="str">
        <v>plays</v>
      </c>
      <c r="S409" s="10">
        <f t="shared" ref="S409:T409" si="411">(((J409/60)/60)/24)+DATE(1970,1,1)</f>
        <v>43751.208333333328</v>
      </c>
      <c r="T409" s="10">
        <f t="shared" si="411"/>
        <v>43758.208333333328</v>
      </c>
    </row>
    <row r="410" spans="1:20" ht="15.75" customHeight="1" x14ac:dyDescent="0.25">
      <c r="A410" s="5">
        <v>408</v>
      </c>
      <c r="B410" s="6" t="s">
        <v>875</v>
      </c>
      <c r="C410" s="7" t="s">
        <v>876</v>
      </c>
      <c r="D410" s="5">
        <v>9200</v>
      </c>
      <c r="E410" s="5">
        <v>12129</v>
      </c>
      <c r="F410" s="5" t="s">
        <v>28</v>
      </c>
      <c r="G410" s="5">
        <v>154</v>
      </c>
      <c r="H410" s="5" t="s">
        <v>23</v>
      </c>
      <c r="I410" s="5" t="s">
        <v>24</v>
      </c>
      <c r="J410" s="5">
        <v>1466398800</v>
      </c>
      <c r="K410" s="5">
        <v>1468126800</v>
      </c>
      <c r="L410" s="5" t="b">
        <v>0</v>
      </c>
      <c r="M410" s="5" t="b">
        <v>0</v>
      </c>
      <c r="N410" s="5" t="s">
        <v>50</v>
      </c>
      <c r="O410" s="8">
        <f t="shared" si="257"/>
        <v>1.3183695652173912</v>
      </c>
      <c r="P410" s="9">
        <f t="shared" si="259"/>
        <v>78.759740259740255</v>
      </c>
      <c r="Q410" s="5" t="str" cm="1">
        <f t="array" ref="Q410:R410">_xlfn.TEXTSPLIT(N410,"/")</f>
        <v>film &amp; video</v>
      </c>
      <c r="R410" t="str">
        <v>documentary</v>
      </c>
      <c r="S410" s="10">
        <f t="shared" ref="S410:T410" si="412">(((J410/60)/60)/24)+DATE(1970,1,1)</f>
        <v>42541.208333333328</v>
      </c>
      <c r="T410" s="10">
        <f t="shared" si="412"/>
        <v>42561.208333333328</v>
      </c>
    </row>
    <row r="411" spans="1:20" ht="15.75" customHeight="1" x14ac:dyDescent="0.25">
      <c r="A411" s="5">
        <v>409</v>
      </c>
      <c r="B411" s="6" t="s">
        <v>251</v>
      </c>
      <c r="C411" s="7" t="s">
        <v>877</v>
      </c>
      <c r="D411" s="5">
        <v>135600</v>
      </c>
      <c r="E411" s="5">
        <v>62804</v>
      </c>
      <c r="F411" s="5" t="s">
        <v>22</v>
      </c>
      <c r="G411" s="5">
        <v>714</v>
      </c>
      <c r="H411" s="5" t="s">
        <v>29</v>
      </c>
      <c r="I411" s="5" t="s">
        <v>30</v>
      </c>
      <c r="J411" s="5">
        <v>1492491600</v>
      </c>
      <c r="K411" s="5">
        <v>1492837200</v>
      </c>
      <c r="L411" s="5" t="b">
        <v>0</v>
      </c>
      <c r="M411" s="5" t="b">
        <v>0</v>
      </c>
      <c r="N411" s="5" t="s">
        <v>31</v>
      </c>
      <c r="O411" s="8">
        <f t="shared" si="257"/>
        <v>0.46315634218289087</v>
      </c>
      <c r="P411" s="9">
        <f t="shared" si="259"/>
        <v>87.960784313725483</v>
      </c>
      <c r="Q411" s="5" t="str" cm="1">
        <f t="array" ref="Q411:R411">_xlfn.TEXTSPLIT(N411,"/")</f>
        <v>music</v>
      </c>
      <c r="R411" t="str">
        <v>rock</v>
      </c>
      <c r="S411" s="10">
        <f t="shared" ref="S411:T411" si="413">(((J411/60)/60)/24)+DATE(1970,1,1)</f>
        <v>42843.208333333328</v>
      </c>
      <c r="T411" s="10">
        <f t="shared" si="413"/>
        <v>42847.208333333328</v>
      </c>
    </row>
    <row r="412" spans="1:20" ht="15.75" customHeight="1" x14ac:dyDescent="0.25">
      <c r="A412" s="5">
        <v>410</v>
      </c>
      <c r="B412" s="6" t="s">
        <v>878</v>
      </c>
      <c r="C412" s="7" t="s">
        <v>879</v>
      </c>
      <c r="D412" s="5">
        <v>153700</v>
      </c>
      <c r="E412" s="5">
        <v>55536</v>
      </c>
      <c r="F412" s="5" t="s">
        <v>55</v>
      </c>
      <c r="G412" s="5">
        <v>1111</v>
      </c>
      <c r="H412" s="5" t="s">
        <v>29</v>
      </c>
      <c r="I412" s="5" t="s">
        <v>30</v>
      </c>
      <c r="J412" s="5">
        <v>1430197200</v>
      </c>
      <c r="K412" s="5">
        <v>1430197200</v>
      </c>
      <c r="L412" s="5" t="b">
        <v>0</v>
      </c>
      <c r="M412" s="5" t="b">
        <v>0</v>
      </c>
      <c r="N412" s="5" t="s">
        <v>300</v>
      </c>
      <c r="O412" s="8">
        <f t="shared" si="257"/>
        <v>0.36132726089785294</v>
      </c>
      <c r="P412" s="9">
        <f t="shared" si="259"/>
        <v>49.987398739873989</v>
      </c>
      <c r="Q412" s="5" t="str" cm="1">
        <f t="array" ref="Q412:R412">_xlfn.TEXTSPLIT(N412,"/")</f>
        <v>games</v>
      </c>
      <c r="R412" t="str">
        <v>mobile games</v>
      </c>
      <c r="S412" s="10">
        <f t="shared" ref="S412:T412" si="414">(((J412/60)/60)/24)+DATE(1970,1,1)</f>
        <v>42122.208333333328</v>
      </c>
      <c r="T412" s="10">
        <f t="shared" si="414"/>
        <v>42122.208333333328</v>
      </c>
    </row>
    <row r="413" spans="1:20" ht="15.75" customHeight="1" x14ac:dyDescent="0.25">
      <c r="A413" s="5">
        <v>411</v>
      </c>
      <c r="B413" s="6" t="s">
        <v>880</v>
      </c>
      <c r="C413" s="7" t="s">
        <v>881</v>
      </c>
      <c r="D413" s="5">
        <v>7800</v>
      </c>
      <c r="E413" s="5">
        <v>8161</v>
      </c>
      <c r="F413" s="5" t="s">
        <v>28</v>
      </c>
      <c r="G413" s="5">
        <v>82</v>
      </c>
      <c r="H413" s="5" t="s">
        <v>29</v>
      </c>
      <c r="I413" s="5" t="s">
        <v>30</v>
      </c>
      <c r="J413" s="5">
        <v>1496034000</v>
      </c>
      <c r="K413" s="5">
        <v>1496206800</v>
      </c>
      <c r="L413" s="5" t="b">
        <v>0</v>
      </c>
      <c r="M413" s="5" t="b">
        <v>0</v>
      </c>
      <c r="N413" s="5" t="s">
        <v>41</v>
      </c>
      <c r="O413" s="8">
        <f t="shared" si="257"/>
        <v>1.0462820512820512</v>
      </c>
      <c r="P413" s="9">
        <f t="shared" si="259"/>
        <v>99.524390243902445</v>
      </c>
      <c r="Q413" s="5" t="str" cm="1">
        <f t="array" ref="Q413:R413">_xlfn.TEXTSPLIT(N413,"/")</f>
        <v>theater</v>
      </c>
      <c r="R413" t="str">
        <v>plays</v>
      </c>
      <c r="S413" s="10">
        <f t="shared" ref="S413:T413" si="415">(((J413/60)/60)/24)+DATE(1970,1,1)</f>
        <v>42884.208333333328</v>
      </c>
      <c r="T413" s="10">
        <f t="shared" si="415"/>
        <v>42886.208333333328</v>
      </c>
    </row>
    <row r="414" spans="1:20" ht="15.75" customHeight="1" x14ac:dyDescent="0.25">
      <c r="A414" s="5">
        <v>412</v>
      </c>
      <c r="B414" s="6" t="s">
        <v>882</v>
      </c>
      <c r="C414" s="7" t="s">
        <v>883</v>
      </c>
      <c r="D414" s="5">
        <v>2100</v>
      </c>
      <c r="E414" s="5">
        <v>14046</v>
      </c>
      <c r="F414" s="5" t="s">
        <v>28</v>
      </c>
      <c r="G414" s="5">
        <v>134</v>
      </c>
      <c r="H414" s="5" t="s">
        <v>29</v>
      </c>
      <c r="I414" s="5" t="s">
        <v>30</v>
      </c>
      <c r="J414" s="5">
        <v>1388728800</v>
      </c>
      <c r="K414" s="5">
        <v>1389592800</v>
      </c>
      <c r="L414" s="5" t="b">
        <v>0</v>
      </c>
      <c r="M414" s="5" t="b">
        <v>0</v>
      </c>
      <c r="N414" s="5" t="s">
        <v>127</v>
      </c>
      <c r="O414" s="8">
        <f t="shared" si="257"/>
        <v>6.6885714285714286</v>
      </c>
      <c r="P414" s="9">
        <f t="shared" si="259"/>
        <v>104.82089552238806</v>
      </c>
      <c r="Q414" s="5" t="str" cm="1">
        <f t="array" ref="Q414:R414">_xlfn.TEXTSPLIT(N414,"/")</f>
        <v>publishing</v>
      </c>
      <c r="R414" t="str">
        <v>fiction</v>
      </c>
      <c r="S414" s="10">
        <f t="shared" ref="S414:T414" si="416">(((J414/60)/60)/24)+DATE(1970,1,1)</f>
        <v>41642.25</v>
      </c>
      <c r="T414" s="10">
        <f t="shared" si="416"/>
        <v>41652.25</v>
      </c>
    </row>
    <row r="415" spans="1:20" ht="15.75" customHeight="1" x14ac:dyDescent="0.25">
      <c r="A415" s="5">
        <v>413</v>
      </c>
      <c r="B415" s="6" t="s">
        <v>884</v>
      </c>
      <c r="C415" s="7" t="s">
        <v>885</v>
      </c>
      <c r="D415" s="5">
        <v>189500</v>
      </c>
      <c r="E415" s="5">
        <v>117628</v>
      </c>
      <c r="F415" s="5" t="s">
        <v>55</v>
      </c>
      <c r="G415" s="5">
        <v>1089</v>
      </c>
      <c r="H415" s="5" t="s">
        <v>29</v>
      </c>
      <c r="I415" s="5" t="s">
        <v>30</v>
      </c>
      <c r="J415" s="5">
        <v>1543298400</v>
      </c>
      <c r="K415" s="5">
        <v>1545631200</v>
      </c>
      <c r="L415" s="5" t="b">
        <v>0</v>
      </c>
      <c r="M415" s="5" t="b">
        <v>0</v>
      </c>
      <c r="N415" s="5" t="s">
        <v>79</v>
      </c>
      <c r="O415" s="8">
        <f t="shared" si="257"/>
        <v>0.62072823218997364</v>
      </c>
      <c r="P415" s="9">
        <f t="shared" si="259"/>
        <v>108.01469237832875</v>
      </c>
      <c r="Q415" s="5" t="str" cm="1">
        <f t="array" ref="Q415:R415">_xlfn.TEXTSPLIT(N415,"/")</f>
        <v>film &amp; video</v>
      </c>
      <c r="R415" t="str">
        <v>animation</v>
      </c>
      <c r="S415" s="10">
        <f t="shared" ref="S415:T415" si="417">(((J415/60)/60)/24)+DATE(1970,1,1)</f>
        <v>43431.25</v>
      </c>
      <c r="T415" s="10">
        <f t="shared" si="417"/>
        <v>43458.25</v>
      </c>
    </row>
    <row r="416" spans="1:20" ht="15.75" customHeight="1" x14ac:dyDescent="0.25">
      <c r="A416" s="5">
        <v>414</v>
      </c>
      <c r="B416" s="6" t="s">
        <v>886</v>
      </c>
      <c r="C416" s="7" t="s">
        <v>887</v>
      </c>
      <c r="D416" s="5">
        <v>188200</v>
      </c>
      <c r="E416" s="5">
        <v>159405</v>
      </c>
      <c r="F416" s="5" t="s">
        <v>22</v>
      </c>
      <c r="G416" s="5">
        <v>5497</v>
      </c>
      <c r="H416" s="5" t="s">
        <v>29</v>
      </c>
      <c r="I416" s="5" t="s">
        <v>30</v>
      </c>
      <c r="J416" s="5">
        <v>1271739600</v>
      </c>
      <c r="K416" s="5">
        <v>1272430800</v>
      </c>
      <c r="L416" s="5" t="b">
        <v>0</v>
      </c>
      <c r="M416" s="5" t="b">
        <v>1</v>
      </c>
      <c r="N416" s="5" t="s">
        <v>25</v>
      </c>
      <c r="O416" s="8">
        <f t="shared" si="257"/>
        <v>0.84699787460148779</v>
      </c>
      <c r="P416" s="9">
        <f t="shared" si="259"/>
        <v>28.998544660724033</v>
      </c>
      <c r="Q416" s="5" t="str" cm="1">
        <f t="array" ref="Q416:R416">_xlfn.TEXTSPLIT(N416,"/")</f>
        <v>food</v>
      </c>
      <c r="R416" t="str">
        <v>food trucks</v>
      </c>
      <c r="S416" s="10">
        <f t="shared" ref="S416:T416" si="418">(((J416/60)/60)/24)+DATE(1970,1,1)</f>
        <v>40288.208333333336</v>
      </c>
      <c r="T416" s="10">
        <f t="shared" si="418"/>
        <v>40296.208333333336</v>
      </c>
    </row>
    <row r="417" spans="1:20" ht="15.75" customHeight="1" x14ac:dyDescent="0.25">
      <c r="A417" s="5">
        <v>415</v>
      </c>
      <c r="B417" s="6" t="s">
        <v>888</v>
      </c>
      <c r="C417" s="7" t="s">
        <v>889</v>
      </c>
      <c r="D417" s="5">
        <v>113500</v>
      </c>
      <c r="E417" s="5">
        <v>12552</v>
      </c>
      <c r="F417" s="5" t="s">
        <v>22</v>
      </c>
      <c r="G417" s="5">
        <v>418</v>
      </c>
      <c r="H417" s="5" t="s">
        <v>29</v>
      </c>
      <c r="I417" s="5" t="s">
        <v>30</v>
      </c>
      <c r="J417" s="5">
        <v>1326434400</v>
      </c>
      <c r="K417" s="5">
        <v>1327903200</v>
      </c>
      <c r="L417" s="5" t="b">
        <v>0</v>
      </c>
      <c r="M417" s="5" t="b">
        <v>0</v>
      </c>
      <c r="N417" s="5" t="s">
        <v>41</v>
      </c>
      <c r="O417" s="8">
        <f t="shared" si="257"/>
        <v>0.11059030837004405</v>
      </c>
      <c r="P417" s="9">
        <f t="shared" si="259"/>
        <v>30.028708133971293</v>
      </c>
      <c r="Q417" s="5" t="str" cm="1">
        <f t="array" ref="Q417:R417">_xlfn.TEXTSPLIT(N417,"/")</f>
        <v>theater</v>
      </c>
      <c r="R417" t="str">
        <v>plays</v>
      </c>
      <c r="S417" s="10">
        <f t="shared" ref="S417:T417" si="419">(((J417/60)/60)/24)+DATE(1970,1,1)</f>
        <v>40921.25</v>
      </c>
      <c r="T417" s="10">
        <f t="shared" si="419"/>
        <v>40938.25</v>
      </c>
    </row>
    <row r="418" spans="1:20" ht="15.75" customHeight="1" x14ac:dyDescent="0.25">
      <c r="A418" s="5">
        <v>416</v>
      </c>
      <c r="B418" s="6" t="s">
        <v>890</v>
      </c>
      <c r="C418" s="7" t="s">
        <v>891</v>
      </c>
      <c r="D418" s="5">
        <v>134600</v>
      </c>
      <c r="E418" s="5">
        <v>59007</v>
      </c>
      <c r="F418" s="5" t="s">
        <v>22</v>
      </c>
      <c r="G418" s="5">
        <v>1439</v>
      </c>
      <c r="H418" s="5" t="s">
        <v>29</v>
      </c>
      <c r="I418" s="5" t="s">
        <v>30</v>
      </c>
      <c r="J418" s="5">
        <v>1295244000</v>
      </c>
      <c r="K418" s="5">
        <v>1296021600</v>
      </c>
      <c r="L418" s="5" t="b">
        <v>0</v>
      </c>
      <c r="M418" s="5" t="b">
        <v>1</v>
      </c>
      <c r="N418" s="5" t="s">
        <v>50</v>
      </c>
      <c r="O418" s="8">
        <f t="shared" si="257"/>
        <v>0.43838781575037145</v>
      </c>
      <c r="P418" s="9">
        <f t="shared" si="259"/>
        <v>41.005559416261292</v>
      </c>
      <c r="Q418" s="5" t="str" cm="1">
        <f t="array" ref="Q418:R418">_xlfn.TEXTSPLIT(N418,"/")</f>
        <v>film &amp; video</v>
      </c>
      <c r="R418" t="str">
        <v>documentary</v>
      </c>
      <c r="S418" s="10">
        <f t="shared" ref="S418:T418" si="420">(((J418/60)/60)/24)+DATE(1970,1,1)</f>
        <v>40560.25</v>
      </c>
      <c r="T418" s="10">
        <f t="shared" si="420"/>
        <v>40569.25</v>
      </c>
    </row>
    <row r="419" spans="1:20" ht="15.75" customHeight="1" x14ac:dyDescent="0.25">
      <c r="A419" s="5">
        <v>417</v>
      </c>
      <c r="B419" s="6" t="s">
        <v>892</v>
      </c>
      <c r="C419" s="7" t="s">
        <v>893</v>
      </c>
      <c r="D419" s="5">
        <v>1700</v>
      </c>
      <c r="E419" s="5">
        <v>943</v>
      </c>
      <c r="F419" s="5" t="s">
        <v>22</v>
      </c>
      <c r="G419" s="5">
        <v>15</v>
      </c>
      <c r="H419" s="5" t="s">
        <v>29</v>
      </c>
      <c r="I419" s="5" t="s">
        <v>30</v>
      </c>
      <c r="J419" s="5">
        <v>1541221200</v>
      </c>
      <c r="K419" s="5">
        <v>1543298400</v>
      </c>
      <c r="L419" s="5" t="b">
        <v>0</v>
      </c>
      <c r="M419" s="5" t="b">
        <v>0</v>
      </c>
      <c r="N419" s="5" t="s">
        <v>41</v>
      </c>
      <c r="O419" s="8">
        <f t="shared" si="257"/>
        <v>0.55470588235294116</v>
      </c>
      <c r="P419" s="9">
        <f t="shared" si="259"/>
        <v>62.866666666666667</v>
      </c>
      <c r="Q419" s="5" t="str" cm="1">
        <f t="array" ref="Q419:R419">_xlfn.TEXTSPLIT(N419,"/")</f>
        <v>theater</v>
      </c>
      <c r="R419" t="str">
        <v>plays</v>
      </c>
      <c r="S419" s="10">
        <f t="shared" ref="S419:T419" si="421">(((J419/60)/60)/24)+DATE(1970,1,1)</f>
        <v>43407.208333333328</v>
      </c>
      <c r="T419" s="10">
        <f t="shared" si="421"/>
        <v>43431.25</v>
      </c>
    </row>
    <row r="420" spans="1:20" ht="15.75" customHeight="1" x14ac:dyDescent="0.25">
      <c r="A420" s="5">
        <v>418</v>
      </c>
      <c r="B420" s="6" t="s">
        <v>113</v>
      </c>
      <c r="C420" s="7" t="s">
        <v>894</v>
      </c>
      <c r="D420" s="5">
        <v>163700</v>
      </c>
      <c r="E420" s="5">
        <v>93963</v>
      </c>
      <c r="F420" s="5" t="s">
        <v>22</v>
      </c>
      <c r="G420" s="5">
        <v>1999</v>
      </c>
      <c r="H420" s="5" t="s">
        <v>23</v>
      </c>
      <c r="I420" s="5" t="s">
        <v>24</v>
      </c>
      <c r="J420" s="5">
        <v>1336280400</v>
      </c>
      <c r="K420" s="5">
        <v>1336366800</v>
      </c>
      <c r="L420" s="5" t="b">
        <v>0</v>
      </c>
      <c r="M420" s="5" t="b">
        <v>0</v>
      </c>
      <c r="N420" s="5" t="s">
        <v>50</v>
      </c>
      <c r="O420" s="8">
        <f t="shared" si="257"/>
        <v>0.57399511301160655</v>
      </c>
      <c r="P420" s="9">
        <f t="shared" si="259"/>
        <v>47.005002501250623</v>
      </c>
      <c r="Q420" s="5" t="str" cm="1">
        <f t="array" ref="Q420:R420">_xlfn.TEXTSPLIT(N420,"/")</f>
        <v>film &amp; video</v>
      </c>
      <c r="R420" t="str">
        <v>documentary</v>
      </c>
      <c r="S420" s="10">
        <f t="shared" ref="S420:T420" si="422">(((J420/60)/60)/24)+DATE(1970,1,1)</f>
        <v>41035.208333333336</v>
      </c>
      <c r="T420" s="10">
        <f t="shared" si="422"/>
        <v>41036.208333333336</v>
      </c>
    </row>
    <row r="421" spans="1:20" ht="15.75" customHeight="1" x14ac:dyDescent="0.25">
      <c r="A421" s="5">
        <v>419</v>
      </c>
      <c r="B421" s="6" t="s">
        <v>895</v>
      </c>
      <c r="C421" s="7" t="s">
        <v>896</v>
      </c>
      <c r="D421" s="5">
        <v>113800</v>
      </c>
      <c r="E421" s="5">
        <v>140469</v>
      </c>
      <c r="F421" s="5" t="s">
        <v>28</v>
      </c>
      <c r="G421" s="5">
        <v>5203</v>
      </c>
      <c r="H421" s="5" t="s">
        <v>29</v>
      </c>
      <c r="I421" s="5" t="s">
        <v>30</v>
      </c>
      <c r="J421" s="5">
        <v>1324533600</v>
      </c>
      <c r="K421" s="5">
        <v>1325052000</v>
      </c>
      <c r="L421" s="5" t="b">
        <v>0</v>
      </c>
      <c r="M421" s="5" t="b">
        <v>0</v>
      </c>
      <c r="N421" s="5" t="s">
        <v>36</v>
      </c>
      <c r="O421" s="8">
        <f t="shared" si="257"/>
        <v>1.2343497363796134</v>
      </c>
      <c r="P421" s="9">
        <f t="shared" si="259"/>
        <v>26.997693638285604</v>
      </c>
      <c r="Q421" s="5" t="str" cm="1">
        <f t="array" ref="Q421:R421">_xlfn.TEXTSPLIT(N421,"/")</f>
        <v>technology</v>
      </c>
      <c r="R421" t="str">
        <v>web</v>
      </c>
      <c r="S421" s="10">
        <f t="shared" ref="S421:T421" si="423">(((J421/60)/60)/24)+DATE(1970,1,1)</f>
        <v>40899.25</v>
      </c>
      <c r="T421" s="10">
        <f t="shared" si="423"/>
        <v>40905.25</v>
      </c>
    </row>
    <row r="422" spans="1:20" ht="15.75" customHeight="1" x14ac:dyDescent="0.25">
      <c r="A422" s="5">
        <v>420</v>
      </c>
      <c r="B422" s="6" t="s">
        <v>897</v>
      </c>
      <c r="C422" s="7" t="s">
        <v>898</v>
      </c>
      <c r="D422" s="5">
        <v>5000</v>
      </c>
      <c r="E422" s="5">
        <v>6423</v>
      </c>
      <c r="F422" s="5" t="s">
        <v>28</v>
      </c>
      <c r="G422" s="5">
        <v>94</v>
      </c>
      <c r="H422" s="5" t="s">
        <v>29</v>
      </c>
      <c r="I422" s="5" t="s">
        <v>30</v>
      </c>
      <c r="J422" s="5">
        <v>1498366800</v>
      </c>
      <c r="K422" s="5">
        <v>1499576400</v>
      </c>
      <c r="L422" s="5" t="b">
        <v>0</v>
      </c>
      <c r="M422" s="5" t="b">
        <v>0</v>
      </c>
      <c r="N422" s="5" t="s">
        <v>41</v>
      </c>
      <c r="O422" s="8">
        <f t="shared" si="257"/>
        <v>1.2846</v>
      </c>
      <c r="P422" s="9">
        <f t="shared" si="259"/>
        <v>68.329787234042556</v>
      </c>
      <c r="Q422" s="5" t="str" cm="1">
        <f t="array" ref="Q422:R422">_xlfn.TEXTSPLIT(N422,"/")</f>
        <v>theater</v>
      </c>
      <c r="R422" t="str">
        <v>plays</v>
      </c>
      <c r="S422" s="10">
        <f t="shared" ref="S422:T422" si="424">(((J422/60)/60)/24)+DATE(1970,1,1)</f>
        <v>42911.208333333328</v>
      </c>
      <c r="T422" s="10">
        <f t="shared" si="424"/>
        <v>42925.208333333328</v>
      </c>
    </row>
    <row r="423" spans="1:20" ht="15.75" customHeight="1" x14ac:dyDescent="0.25">
      <c r="A423" s="5">
        <v>421</v>
      </c>
      <c r="B423" s="6" t="s">
        <v>899</v>
      </c>
      <c r="C423" s="7" t="s">
        <v>900</v>
      </c>
      <c r="D423" s="5">
        <v>9400</v>
      </c>
      <c r="E423" s="5">
        <v>6015</v>
      </c>
      <c r="F423" s="5" t="s">
        <v>22</v>
      </c>
      <c r="G423" s="5">
        <v>118</v>
      </c>
      <c r="H423" s="5" t="s">
        <v>29</v>
      </c>
      <c r="I423" s="5" t="s">
        <v>30</v>
      </c>
      <c r="J423" s="5">
        <v>1498712400</v>
      </c>
      <c r="K423" s="5">
        <v>1501304400</v>
      </c>
      <c r="L423" s="5" t="b">
        <v>0</v>
      </c>
      <c r="M423" s="5" t="b">
        <v>1</v>
      </c>
      <c r="N423" s="5" t="s">
        <v>73</v>
      </c>
      <c r="O423" s="8">
        <f t="shared" si="257"/>
        <v>0.63989361702127656</v>
      </c>
      <c r="P423" s="9">
        <f t="shared" si="259"/>
        <v>50.974576271186443</v>
      </c>
      <c r="Q423" s="5" t="str" cm="1">
        <f t="array" ref="Q423:R423">_xlfn.TEXTSPLIT(N423,"/")</f>
        <v>technology</v>
      </c>
      <c r="R423" t="str">
        <v>wearables</v>
      </c>
      <c r="S423" s="10">
        <f t="shared" ref="S423:T423" si="425">(((J423/60)/60)/24)+DATE(1970,1,1)</f>
        <v>42915.208333333328</v>
      </c>
      <c r="T423" s="10">
        <f t="shared" si="425"/>
        <v>42945.208333333328</v>
      </c>
    </row>
    <row r="424" spans="1:20" ht="15.75" customHeight="1" x14ac:dyDescent="0.25">
      <c r="A424" s="5">
        <v>422</v>
      </c>
      <c r="B424" s="6" t="s">
        <v>901</v>
      </c>
      <c r="C424" s="7" t="s">
        <v>902</v>
      </c>
      <c r="D424" s="5">
        <v>8700</v>
      </c>
      <c r="E424" s="5">
        <v>11075</v>
      </c>
      <c r="F424" s="5" t="s">
        <v>28</v>
      </c>
      <c r="G424" s="5">
        <v>205</v>
      </c>
      <c r="H424" s="5" t="s">
        <v>29</v>
      </c>
      <c r="I424" s="5" t="s">
        <v>30</v>
      </c>
      <c r="J424" s="5">
        <v>1271480400</v>
      </c>
      <c r="K424" s="5">
        <v>1273208400</v>
      </c>
      <c r="L424" s="5" t="b">
        <v>0</v>
      </c>
      <c r="M424" s="5" t="b">
        <v>1</v>
      </c>
      <c r="N424" s="5" t="s">
        <v>41</v>
      </c>
      <c r="O424" s="8">
        <f t="shared" si="257"/>
        <v>1.2729885057471264</v>
      </c>
      <c r="P424" s="9">
        <f t="shared" si="259"/>
        <v>54.024390243902438</v>
      </c>
      <c r="Q424" s="5" t="str" cm="1">
        <f t="array" ref="Q424:R424">_xlfn.TEXTSPLIT(N424,"/")</f>
        <v>theater</v>
      </c>
      <c r="R424" t="str">
        <v>plays</v>
      </c>
      <c r="S424" s="10">
        <f t="shared" ref="S424:T424" si="426">(((J424/60)/60)/24)+DATE(1970,1,1)</f>
        <v>40285.208333333336</v>
      </c>
      <c r="T424" s="10">
        <f t="shared" si="426"/>
        <v>40305.208333333336</v>
      </c>
    </row>
    <row r="425" spans="1:20" ht="15.75" customHeight="1" x14ac:dyDescent="0.25">
      <c r="A425" s="5">
        <v>423</v>
      </c>
      <c r="B425" s="6" t="s">
        <v>903</v>
      </c>
      <c r="C425" s="7" t="s">
        <v>904</v>
      </c>
      <c r="D425" s="5">
        <v>147800</v>
      </c>
      <c r="E425" s="5">
        <v>15723</v>
      </c>
      <c r="F425" s="5" t="s">
        <v>22</v>
      </c>
      <c r="G425" s="5">
        <v>162</v>
      </c>
      <c r="H425" s="5" t="s">
        <v>29</v>
      </c>
      <c r="I425" s="5" t="s">
        <v>30</v>
      </c>
      <c r="J425" s="5">
        <v>1316667600</v>
      </c>
      <c r="K425" s="5">
        <v>1316840400</v>
      </c>
      <c r="L425" s="5" t="b">
        <v>0</v>
      </c>
      <c r="M425" s="5" t="b">
        <v>1</v>
      </c>
      <c r="N425" s="5" t="s">
        <v>25</v>
      </c>
      <c r="O425" s="8">
        <f t="shared" si="257"/>
        <v>0.10638024357239513</v>
      </c>
      <c r="P425" s="9">
        <f t="shared" si="259"/>
        <v>97.055555555555557</v>
      </c>
      <c r="Q425" s="5" t="str" cm="1">
        <f t="array" ref="Q425:R425">_xlfn.TEXTSPLIT(N425,"/")</f>
        <v>food</v>
      </c>
      <c r="R425" t="str">
        <v>food trucks</v>
      </c>
      <c r="S425" s="10">
        <f t="shared" ref="S425:T425" si="427">(((J425/60)/60)/24)+DATE(1970,1,1)</f>
        <v>40808.208333333336</v>
      </c>
      <c r="T425" s="10">
        <f t="shared" si="427"/>
        <v>40810.208333333336</v>
      </c>
    </row>
    <row r="426" spans="1:20" ht="15.75" customHeight="1" x14ac:dyDescent="0.25">
      <c r="A426" s="5">
        <v>424</v>
      </c>
      <c r="B426" s="6" t="s">
        <v>905</v>
      </c>
      <c r="C426" s="7" t="s">
        <v>906</v>
      </c>
      <c r="D426" s="5">
        <v>5100</v>
      </c>
      <c r="E426" s="5">
        <v>2064</v>
      </c>
      <c r="F426" s="5" t="s">
        <v>22</v>
      </c>
      <c r="G426" s="5">
        <v>83</v>
      </c>
      <c r="H426" s="5" t="s">
        <v>29</v>
      </c>
      <c r="I426" s="5" t="s">
        <v>30</v>
      </c>
      <c r="J426" s="5">
        <v>1524027600</v>
      </c>
      <c r="K426" s="5">
        <v>1524546000</v>
      </c>
      <c r="L426" s="5" t="b">
        <v>0</v>
      </c>
      <c r="M426" s="5" t="b">
        <v>0</v>
      </c>
      <c r="N426" s="5" t="s">
        <v>68</v>
      </c>
      <c r="O426" s="8">
        <f t="shared" si="257"/>
        <v>0.40470588235294119</v>
      </c>
      <c r="P426" s="9">
        <f t="shared" si="259"/>
        <v>24.867469879518072</v>
      </c>
      <c r="Q426" s="5" t="str" cm="1">
        <f t="array" ref="Q426:R426">_xlfn.TEXTSPLIT(N426,"/")</f>
        <v>music</v>
      </c>
      <c r="R426" t="str">
        <v>indie rock</v>
      </c>
      <c r="S426" s="10">
        <f t="shared" ref="S426:T426" si="428">(((J426/60)/60)/24)+DATE(1970,1,1)</f>
        <v>43208.208333333328</v>
      </c>
      <c r="T426" s="10">
        <f t="shared" si="428"/>
        <v>43214.208333333328</v>
      </c>
    </row>
    <row r="427" spans="1:20" ht="15.75" customHeight="1" x14ac:dyDescent="0.25">
      <c r="A427" s="5">
        <v>425</v>
      </c>
      <c r="B427" s="6" t="s">
        <v>907</v>
      </c>
      <c r="C427" s="7" t="s">
        <v>908</v>
      </c>
      <c r="D427" s="5">
        <v>2700</v>
      </c>
      <c r="E427" s="5">
        <v>7767</v>
      </c>
      <c r="F427" s="5" t="s">
        <v>28</v>
      </c>
      <c r="G427" s="5">
        <v>92</v>
      </c>
      <c r="H427" s="5" t="s">
        <v>29</v>
      </c>
      <c r="I427" s="5" t="s">
        <v>30</v>
      </c>
      <c r="J427" s="5">
        <v>1438059600</v>
      </c>
      <c r="K427" s="5">
        <v>1438578000</v>
      </c>
      <c r="L427" s="5" t="b">
        <v>0</v>
      </c>
      <c r="M427" s="5" t="b">
        <v>0</v>
      </c>
      <c r="N427" s="5" t="s">
        <v>130</v>
      </c>
      <c r="O427" s="8">
        <f t="shared" si="257"/>
        <v>2.8766666666666665</v>
      </c>
      <c r="P427" s="9">
        <f t="shared" si="259"/>
        <v>84.423913043478265</v>
      </c>
      <c r="Q427" s="5" t="str" cm="1">
        <f t="array" ref="Q427:R427">_xlfn.TEXTSPLIT(N427,"/")</f>
        <v>photography</v>
      </c>
      <c r="R427" t="str">
        <v>photography books</v>
      </c>
      <c r="S427" s="10">
        <f t="shared" ref="S427:T427" si="429">(((J427/60)/60)/24)+DATE(1970,1,1)</f>
        <v>42213.208333333328</v>
      </c>
      <c r="T427" s="10">
        <f t="shared" si="429"/>
        <v>42219.208333333328</v>
      </c>
    </row>
    <row r="428" spans="1:20" ht="15.75" customHeight="1" x14ac:dyDescent="0.25">
      <c r="A428" s="5">
        <v>426</v>
      </c>
      <c r="B428" s="6" t="s">
        <v>909</v>
      </c>
      <c r="C428" s="7" t="s">
        <v>910</v>
      </c>
      <c r="D428" s="5">
        <v>1800</v>
      </c>
      <c r="E428" s="5">
        <v>10313</v>
      </c>
      <c r="F428" s="5" t="s">
        <v>28</v>
      </c>
      <c r="G428" s="5">
        <v>219</v>
      </c>
      <c r="H428" s="5" t="s">
        <v>29</v>
      </c>
      <c r="I428" s="5" t="s">
        <v>30</v>
      </c>
      <c r="J428" s="5">
        <v>1361944800</v>
      </c>
      <c r="K428" s="5">
        <v>1362549600</v>
      </c>
      <c r="L428" s="5" t="b">
        <v>0</v>
      </c>
      <c r="M428" s="5" t="b">
        <v>0</v>
      </c>
      <c r="N428" s="5" t="s">
        <v>41</v>
      </c>
      <c r="O428" s="8">
        <f t="shared" si="257"/>
        <v>5.7294444444444448</v>
      </c>
      <c r="P428" s="9">
        <f t="shared" si="259"/>
        <v>47.091324200913242</v>
      </c>
      <c r="Q428" s="5" t="str" cm="1">
        <f t="array" ref="Q428:R428">_xlfn.TEXTSPLIT(N428,"/")</f>
        <v>theater</v>
      </c>
      <c r="R428" t="str">
        <v>plays</v>
      </c>
      <c r="S428" s="10">
        <f t="shared" ref="S428:T428" si="430">(((J428/60)/60)/24)+DATE(1970,1,1)</f>
        <v>41332.25</v>
      </c>
      <c r="T428" s="10">
        <f t="shared" si="430"/>
        <v>41339.25</v>
      </c>
    </row>
    <row r="429" spans="1:20" ht="15.75" customHeight="1" x14ac:dyDescent="0.25">
      <c r="A429" s="5">
        <v>427</v>
      </c>
      <c r="B429" s="6" t="s">
        <v>911</v>
      </c>
      <c r="C429" s="7" t="s">
        <v>912</v>
      </c>
      <c r="D429" s="5">
        <v>174500</v>
      </c>
      <c r="E429" s="5">
        <v>197018</v>
      </c>
      <c r="F429" s="5" t="s">
        <v>28</v>
      </c>
      <c r="G429" s="5">
        <v>2526</v>
      </c>
      <c r="H429" s="5" t="s">
        <v>29</v>
      </c>
      <c r="I429" s="5" t="s">
        <v>30</v>
      </c>
      <c r="J429" s="5">
        <v>1410584400</v>
      </c>
      <c r="K429" s="5">
        <v>1413349200</v>
      </c>
      <c r="L429" s="5" t="b">
        <v>0</v>
      </c>
      <c r="M429" s="5" t="b">
        <v>1</v>
      </c>
      <c r="N429" s="5" t="s">
        <v>41</v>
      </c>
      <c r="O429" s="8">
        <f t="shared" si="257"/>
        <v>1.1290429799426933</v>
      </c>
      <c r="P429" s="9">
        <f t="shared" si="259"/>
        <v>77.996041171813147</v>
      </c>
      <c r="Q429" s="5" t="str" cm="1">
        <f t="array" ref="Q429:R429">_xlfn.TEXTSPLIT(N429,"/")</f>
        <v>theater</v>
      </c>
      <c r="R429" t="str">
        <v>plays</v>
      </c>
      <c r="S429" s="10">
        <f t="shared" ref="S429:T429" si="431">(((J429/60)/60)/24)+DATE(1970,1,1)</f>
        <v>41895.208333333336</v>
      </c>
      <c r="T429" s="10">
        <f t="shared" si="431"/>
        <v>41927.208333333336</v>
      </c>
    </row>
    <row r="430" spans="1:20" ht="15.75" customHeight="1" x14ac:dyDescent="0.25">
      <c r="A430" s="5">
        <v>428</v>
      </c>
      <c r="B430" s="6" t="s">
        <v>913</v>
      </c>
      <c r="C430" s="7" t="s">
        <v>914</v>
      </c>
      <c r="D430" s="5">
        <v>101400</v>
      </c>
      <c r="E430" s="5">
        <v>47037</v>
      </c>
      <c r="F430" s="5" t="s">
        <v>22</v>
      </c>
      <c r="G430" s="5">
        <v>747</v>
      </c>
      <c r="H430" s="5" t="s">
        <v>29</v>
      </c>
      <c r="I430" s="5" t="s">
        <v>30</v>
      </c>
      <c r="J430" s="5">
        <v>1297404000</v>
      </c>
      <c r="K430" s="5">
        <v>1298008800</v>
      </c>
      <c r="L430" s="5" t="b">
        <v>0</v>
      </c>
      <c r="M430" s="5" t="b">
        <v>0</v>
      </c>
      <c r="N430" s="5" t="s">
        <v>79</v>
      </c>
      <c r="O430" s="8">
        <f t="shared" si="257"/>
        <v>0.46387573964497042</v>
      </c>
      <c r="P430" s="9">
        <f t="shared" si="259"/>
        <v>62.967871485943775</v>
      </c>
      <c r="Q430" s="5" t="str" cm="1">
        <f t="array" ref="Q430:R430">_xlfn.TEXTSPLIT(N430,"/")</f>
        <v>film &amp; video</v>
      </c>
      <c r="R430" t="str">
        <v>animation</v>
      </c>
      <c r="S430" s="10">
        <f t="shared" ref="S430:T430" si="432">(((J430/60)/60)/24)+DATE(1970,1,1)</f>
        <v>40585.25</v>
      </c>
      <c r="T430" s="10">
        <f t="shared" si="432"/>
        <v>40592.25</v>
      </c>
    </row>
    <row r="431" spans="1:20" ht="15.75" customHeight="1" x14ac:dyDescent="0.25">
      <c r="A431" s="5">
        <v>429</v>
      </c>
      <c r="B431" s="6" t="s">
        <v>915</v>
      </c>
      <c r="C431" s="7" t="s">
        <v>916</v>
      </c>
      <c r="D431" s="5">
        <v>191000</v>
      </c>
      <c r="E431" s="5">
        <v>173191</v>
      </c>
      <c r="F431" s="5" t="s">
        <v>82</v>
      </c>
      <c r="G431" s="5">
        <v>2138</v>
      </c>
      <c r="H431" s="5" t="s">
        <v>29</v>
      </c>
      <c r="I431" s="5" t="s">
        <v>30</v>
      </c>
      <c r="J431" s="5">
        <v>1392012000</v>
      </c>
      <c r="K431" s="5">
        <v>1394427600</v>
      </c>
      <c r="L431" s="5" t="b">
        <v>0</v>
      </c>
      <c r="M431" s="5" t="b">
        <v>1</v>
      </c>
      <c r="N431" s="5" t="s">
        <v>130</v>
      </c>
      <c r="O431" s="8">
        <f t="shared" si="257"/>
        <v>0.90675916230366493</v>
      </c>
      <c r="P431" s="9">
        <f t="shared" si="259"/>
        <v>81.006080449017773</v>
      </c>
      <c r="Q431" s="5" t="str" cm="1">
        <f t="array" ref="Q431:R431">_xlfn.TEXTSPLIT(N431,"/")</f>
        <v>photography</v>
      </c>
      <c r="R431" t="str">
        <v>photography books</v>
      </c>
      <c r="S431" s="10">
        <f t="shared" ref="S431:T431" si="433">(((J431/60)/60)/24)+DATE(1970,1,1)</f>
        <v>41680.25</v>
      </c>
      <c r="T431" s="10">
        <f t="shared" si="433"/>
        <v>41708.208333333336</v>
      </c>
    </row>
    <row r="432" spans="1:20" ht="15.75" customHeight="1" x14ac:dyDescent="0.25">
      <c r="A432" s="5">
        <v>430</v>
      </c>
      <c r="B432" s="6" t="s">
        <v>917</v>
      </c>
      <c r="C432" s="7" t="s">
        <v>918</v>
      </c>
      <c r="D432" s="5">
        <v>8100</v>
      </c>
      <c r="E432" s="5">
        <v>5487</v>
      </c>
      <c r="F432" s="5" t="s">
        <v>22</v>
      </c>
      <c r="G432" s="5">
        <v>84</v>
      </c>
      <c r="H432" s="5" t="s">
        <v>29</v>
      </c>
      <c r="I432" s="5" t="s">
        <v>30</v>
      </c>
      <c r="J432" s="5">
        <v>1569733200</v>
      </c>
      <c r="K432" s="5">
        <v>1572670800</v>
      </c>
      <c r="L432" s="5" t="b">
        <v>0</v>
      </c>
      <c r="M432" s="5" t="b">
        <v>0</v>
      </c>
      <c r="N432" s="5" t="s">
        <v>41</v>
      </c>
      <c r="O432" s="8">
        <f t="shared" si="257"/>
        <v>0.67740740740740746</v>
      </c>
      <c r="P432" s="9">
        <f t="shared" si="259"/>
        <v>65.321428571428569</v>
      </c>
      <c r="Q432" s="5" t="str" cm="1">
        <f t="array" ref="Q432:R432">_xlfn.TEXTSPLIT(N432,"/")</f>
        <v>theater</v>
      </c>
      <c r="R432" t="str">
        <v>plays</v>
      </c>
      <c r="S432" s="10">
        <f t="shared" ref="S432:T432" si="434">(((J432/60)/60)/24)+DATE(1970,1,1)</f>
        <v>43737.208333333328</v>
      </c>
      <c r="T432" s="10">
        <f t="shared" si="434"/>
        <v>43771.208333333328</v>
      </c>
    </row>
    <row r="433" spans="1:20" ht="15.75" customHeight="1" x14ac:dyDescent="0.25">
      <c r="A433" s="5">
        <v>431</v>
      </c>
      <c r="B433" s="6" t="s">
        <v>919</v>
      </c>
      <c r="C433" s="7" t="s">
        <v>920</v>
      </c>
      <c r="D433" s="5">
        <v>5100</v>
      </c>
      <c r="E433" s="5">
        <v>9817</v>
      </c>
      <c r="F433" s="5" t="s">
        <v>28</v>
      </c>
      <c r="G433" s="5">
        <v>94</v>
      </c>
      <c r="H433" s="5" t="s">
        <v>29</v>
      </c>
      <c r="I433" s="5" t="s">
        <v>30</v>
      </c>
      <c r="J433" s="5">
        <v>1529643600</v>
      </c>
      <c r="K433" s="5">
        <v>1531112400</v>
      </c>
      <c r="L433" s="5" t="b">
        <v>1</v>
      </c>
      <c r="M433" s="5" t="b">
        <v>0</v>
      </c>
      <c r="N433" s="5" t="s">
        <v>41</v>
      </c>
      <c r="O433" s="8">
        <f t="shared" si="257"/>
        <v>1.9249019607843136</v>
      </c>
      <c r="P433" s="9">
        <f t="shared" si="259"/>
        <v>104.43617021276596</v>
      </c>
      <c r="Q433" s="5" t="str" cm="1">
        <f t="array" ref="Q433:R433">_xlfn.TEXTSPLIT(N433,"/")</f>
        <v>theater</v>
      </c>
      <c r="R433" t="str">
        <v>plays</v>
      </c>
      <c r="S433" s="10">
        <f t="shared" ref="S433:T433" si="435">(((J433/60)/60)/24)+DATE(1970,1,1)</f>
        <v>43273.208333333328</v>
      </c>
      <c r="T433" s="10">
        <f t="shared" si="435"/>
        <v>43290.208333333328</v>
      </c>
    </row>
    <row r="434" spans="1:20" ht="15.75" customHeight="1" x14ac:dyDescent="0.25">
      <c r="A434" s="5">
        <v>432</v>
      </c>
      <c r="B434" s="6" t="s">
        <v>921</v>
      </c>
      <c r="C434" s="7" t="s">
        <v>922</v>
      </c>
      <c r="D434" s="5">
        <v>7700</v>
      </c>
      <c r="E434" s="5">
        <v>6369</v>
      </c>
      <c r="F434" s="5" t="s">
        <v>22</v>
      </c>
      <c r="G434" s="5">
        <v>91</v>
      </c>
      <c r="H434" s="5" t="s">
        <v>29</v>
      </c>
      <c r="I434" s="5" t="s">
        <v>30</v>
      </c>
      <c r="J434" s="5">
        <v>1399006800</v>
      </c>
      <c r="K434" s="5">
        <v>1400734800</v>
      </c>
      <c r="L434" s="5" t="b">
        <v>0</v>
      </c>
      <c r="M434" s="5" t="b">
        <v>0</v>
      </c>
      <c r="N434" s="5" t="s">
        <v>41</v>
      </c>
      <c r="O434" s="8">
        <f t="shared" si="257"/>
        <v>0.82714285714285718</v>
      </c>
      <c r="P434" s="9">
        <f t="shared" si="259"/>
        <v>69.989010989010993</v>
      </c>
      <c r="Q434" s="5" t="str" cm="1">
        <f t="array" ref="Q434:R434">_xlfn.TEXTSPLIT(N434,"/")</f>
        <v>theater</v>
      </c>
      <c r="R434" t="str">
        <v>plays</v>
      </c>
      <c r="S434" s="10">
        <f t="shared" ref="S434:T434" si="436">(((J434/60)/60)/24)+DATE(1970,1,1)</f>
        <v>41761.208333333336</v>
      </c>
      <c r="T434" s="10">
        <f t="shared" si="436"/>
        <v>41781.208333333336</v>
      </c>
    </row>
    <row r="435" spans="1:20" ht="15.75" customHeight="1" x14ac:dyDescent="0.25">
      <c r="A435" s="5">
        <v>433</v>
      </c>
      <c r="B435" s="6" t="s">
        <v>923</v>
      </c>
      <c r="C435" s="7" t="s">
        <v>924</v>
      </c>
      <c r="D435" s="5">
        <v>121400</v>
      </c>
      <c r="E435" s="5">
        <v>65755</v>
      </c>
      <c r="F435" s="5" t="s">
        <v>22</v>
      </c>
      <c r="G435" s="5">
        <v>792</v>
      </c>
      <c r="H435" s="5" t="s">
        <v>29</v>
      </c>
      <c r="I435" s="5" t="s">
        <v>30</v>
      </c>
      <c r="J435" s="5">
        <v>1385359200</v>
      </c>
      <c r="K435" s="5">
        <v>1386741600</v>
      </c>
      <c r="L435" s="5" t="b">
        <v>0</v>
      </c>
      <c r="M435" s="5" t="b">
        <v>1</v>
      </c>
      <c r="N435" s="5" t="s">
        <v>50</v>
      </c>
      <c r="O435" s="8">
        <f t="shared" si="257"/>
        <v>0.54163920922570019</v>
      </c>
      <c r="P435" s="9">
        <f t="shared" si="259"/>
        <v>83.023989898989896</v>
      </c>
      <c r="Q435" s="5" t="str" cm="1">
        <f t="array" ref="Q435:R435">_xlfn.TEXTSPLIT(N435,"/")</f>
        <v>film &amp; video</v>
      </c>
      <c r="R435" t="str">
        <v>documentary</v>
      </c>
      <c r="S435" s="10">
        <f t="shared" ref="S435:T435" si="437">(((J435/60)/60)/24)+DATE(1970,1,1)</f>
        <v>41603.25</v>
      </c>
      <c r="T435" s="10">
        <f t="shared" si="437"/>
        <v>41619.25</v>
      </c>
    </row>
    <row r="436" spans="1:20" ht="15.75" customHeight="1" x14ac:dyDescent="0.25">
      <c r="A436" s="5">
        <v>434</v>
      </c>
      <c r="B436" s="6" t="s">
        <v>925</v>
      </c>
      <c r="C436" s="7" t="s">
        <v>926</v>
      </c>
      <c r="D436" s="5">
        <v>5400</v>
      </c>
      <c r="E436" s="5">
        <v>903</v>
      </c>
      <c r="F436" s="5" t="s">
        <v>82</v>
      </c>
      <c r="G436" s="5">
        <v>10</v>
      </c>
      <c r="H436" s="5" t="s">
        <v>23</v>
      </c>
      <c r="I436" s="5" t="s">
        <v>24</v>
      </c>
      <c r="J436" s="5">
        <v>1480572000</v>
      </c>
      <c r="K436" s="5">
        <v>1481781600</v>
      </c>
      <c r="L436" s="5" t="b">
        <v>1</v>
      </c>
      <c r="M436" s="5" t="b">
        <v>0</v>
      </c>
      <c r="N436" s="5" t="s">
        <v>41</v>
      </c>
      <c r="O436" s="8">
        <f t="shared" si="257"/>
        <v>0.16722222222222222</v>
      </c>
      <c r="P436" s="9">
        <f t="shared" si="259"/>
        <v>90.3</v>
      </c>
      <c r="Q436" s="5" t="str" cm="1">
        <f t="array" ref="Q436:R436">_xlfn.TEXTSPLIT(N436,"/")</f>
        <v>theater</v>
      </c>
      <c r="R436" t="str">
        <v>plays</v>
      </c>
      <c r="S436" s="10">
        <f t="shared" ref="S436:T436" si="438">(((J436/60)/60)/24)+DATE(1970,1,1)</f>
        <v>42705.25</v>
      </c>
      <c r="T436" s="10">
        <f t="shared" si="438"/>
        <v>42719.25</v>
      </c>
    </row>
    <row r="437" spans="1:20" ht="15.75" customHeight="1" x14ac:dyDescent="0.25">
      <c r="A437" s="5">
        <v>435</v>
      </c>
      <c r="B437" s="6" t="s">
        <v>927</v>
      </c>
      <c r="C437" s="7" t="s">
        <v>928</v>
      </c>
      <c r="D437" s="5">
        <v>152400</v>
      </c>
      <c r="E437" s="5">
        <v>178120</v>
      </c>
      <c r="F437" s="5" t="s">
        <v>28</v>
      </c>
      <c r="G437" s="5">
        <v>1713</v>
      </c>
      <c r="H437" s="5" t="s">
        <v>115</v>
      </c>
      <c r="I437" s="5" t="s">
        <v>116</v>
      </c>
      <c r="J437" s="5">
        <v>1418623200</v>
      </c>
      <c r="K437" s="5">
        <v>1419660000</v>
      </c>
      <c r="L437" s="5" t="b">
        <v>0</v>
      </c>
      <c r="M437" s="5" t="b">
        <v>1</v>
      </c>
      <c r="N437" s="5" t="s">
        <v>41</v>
      </c>
      <c r="O437" s="8">
        <f t="shared" si="257"/>
        <v>1.168766404199475</v>
      </c>
      <c r="P437" s="9">
        <f t="shared" si="259"/>
        <v>103.98131932282546</v>
      </c>
      <c r="Q437" s="5" t="str" cm="1">
        <f t="array" ref="Q437:R437">_xlfn.TEXTSPLIT(N437,"/")</f>
        <v>theater</v>
      </c>
      <c r="R437" t="str">
        <v>plays</v>
      </c>
      <c r="S437" s="10">
        <f t="shared" ref="S437:T437" si="439">(((J437/60)/60)/24)+DATE(1970,1,1)</f>
        <v>41988.25</v>
      </c>
      <c r="T437" s="10">
        <f t="shared" si="439"/>
        <v>42000.25</v>
      </c>
    </row>
    <row r="438" spans="1:20" ht="15.75" customHeight="1" x14ac:dyDescent="0.25">
      <c r="A438" s="5">
        <v>436</v>
      </c>
      <c r="B438" s="6" t="s">
        <v>929</v>
      </c>
      <c r="C438" s="7" t="s">
        <v>930</v>
      </c>
      <c r="D438" s="5">
        <v>1300</v>
      </c>
      <c r="E438" s="5">
        <v>13678</v>
      </c>
      <c r="F438" s="5" t="s">
        <v>28</v>
      </c>
      <c r="G438" s="5">
        <v>249</v>
      </c>
      <c r="H438" s="5" t="s">
        <v>29</v>
      </c>
      <c r="I438" s="5" t="s">
        <v>30</v>
      </c>
      <c r="J438" s="5">
        <v>1555736400</v>
      </c>
      <c r="K438" s="5">
        <v>1555822800</v>
      </c>
      <c r="L438" s="5" t="b">
        <v>0</v>
      </c>
      <c r="M438" s="5" t="b">
        <v>0</v>
      </c>
      <c r="N438" s="5" t="s">
        <v>167</v>
      </c>
      <c r="O438" s="8">
        <f t="shared" si="257"/>
        <v>10.521538461538462</v>
      </c>
      <c r="P438" s="9">
        <f t="shared" si="259"/>
        <v>54.931726907630519</v>
      </c>
      <c r="Q438" s="5" t="str" cm="1">
        <f t="array" ref="Q438:R438">_xlfn.TEXTSPLIT(N438,"/")</f>
        <v>music</v>
      </c>
      <c r="R438" t="str">
        <v>jazz</v>
      </c>
      <c r="S438" s="10">
        <f t="shared" ref="S438:T438" si="440">(((J438/60)/60)/24)+DATE(1970,1,1)</f>
        <v>43575.208333333328</v>
      </c>
      <c r="T438" s="10">
        <f t="shared" si="440"/>
        <v>43576.208333333328</v>
      </c>
    </row>
    <row r="439" spans="1:20" ht="15.75" customHeight="1" x14ac:dyDescent="0.25">
      <c r="A439" s="5">
        <v>437</v>
      </c>
      <c r="B439" s="6" t="s">
        <v>931</v>
      </c>
      <c r="C439" s="7" t="s">
        <v>932</v>
      </c>
      <c r="D439" s="5">
        <v>8100</v>
      </c>
      <c r="E439" s="5">
        <v>9969</v>
      </c>
      <c r="F439" s="5" t="s">
        <v>28</v>
      </c>
      <c r="G439" s="5">
        <v>192</v>
      </c>
      <c r="H439" s="5" t="s">
        <v>29</v>
      </c>
      <c r="I439" s="5" t="s">
        <v>30</v>
      </c>
      <c r="J439" s="5">
        <v>1442120400</v>
      </c>
      <c r="K439" s="5">
        <v>1442379600</v>
      </c>
      <c r="L439" s="5" t="b">
        <v>0</v>
      </c>
      <c r="M439" s="5" t="b">
        <v>1</v>
      </c>
      <c r="N439" s="5" t="s">
        <v>79</v>
      </c>
      <c r="O439" s="8">
        <f t="shared" si="257"/>
        <v>1.2307407407407407</v>
      </c>
      <c r="P439" s="9">
        <f t="shared" si="259"/>
        <v>51.921875</v>
      </c>
      <c r="Q439" s="5" t="str" cm="1">
        <f t="array" ref="Q439:R439">_xlfn.TEXTSPLIT(N439,"/")</f>
        <v>film &amp; video</v>
      </c>
      <c r="R439" t="str">
        <v>animation</v>
      </c>
      <c r="S439" s="10">
        <f t="shared" ref="S439:T439" si="441">(((J439/60)/60)/24)+DATE(1970,1,1)</f>
        <v>42260.208333333328</v>
      </c>
      <c r="T439" s="10">
        <f t="shared" si="441"/>
        <v>42263.208333333328</v>
      </c>
    </row>
    <row r="440" spans="1:20" ht="15.75" customHeight="1" x14ac:dyDescent="0.25">
      <c r="A440" s="5">
        <v>438</v>
      </c>
      <c r="B440" s="6" t="s">
        <v>933</v>
      </c>
      <c r="C440" s="7" t="s">
        <v>934</v>
      </c>
      <c r="D440" s="5">
        <v>8300</v>
      </c>
      <c r="E440" s="5">
        <v>14827</v>
      </c>
      <c r="F440" s="5" t="s">
        <v>28</v>
      </c>
      <c r="G440" s="5">
        <v>247</v>
      </c>
      <c r="H440" s="5" t="s">
        <v>29</v>
      </c>
      <c r="I440" s="5" t="s">
        <v>30</v>
      </c>
      <c r="J440" s="5">
        <v>1362376800</v>
      </c>
      <c r="K440" s="5">
        <v>1364965200</v>
      </c>
      <c r="L440" s="5" t="b">
        <v>0</v>
      </c>
      <c r="M440" s="5" t="b">
        <v>0</v>
      </c>
      <c r="N440" s="5" t="s">
        <v>41</v>
      </c>
      <c r="O440" s="8">
        <f t="shared" si="257"/>
        <v>1.7863855421686747</v>
      </c>
      <c r="P440" s="9">
        <f t="shared" si="259"/>
        <v>60.02834008097166</v>
      </c>
      <c r="Q440" s="5" t="str" cm="1">
        <f t="array" ref="Q440:R440">_xlfn.TEXTSPLIT(N440,"/")</f>
        <v>theater</v>
      </c>
      <c r="R440" t="str">
        <v>plays</v>
      </c>
      <c r="S440" s="10">
        <f t="shared" ref="S440:T440" si="442">(((J440/60)/60)/24)+DATE(1970,1,1)</f>
        <v>41337.25</v>
      </c>
      <c r="T440" s="10">
        <f t="shared" si="442"/>
        <v>41367.208333333336</v>
      </c>
    </row>
    <row r="441" spans="1:20" ht="15.75" customHeight="1" x14ac:dyDescent="0.25">
      <c r="A441" s="5">
        <v>439</v>
      </c>
      <c r="B441" s="6" t="s">
        <v>935</v>
      </c>
      <c r="C441" s="7" t="s">
        <v>936</v>
      </c>
      <c r="D441" s="5">
        <v>28400</v>
      </c>
      <c r="E441" s="5">
        <v>100900</v>
      </c>
      <c r="F441" s="5" t="s">
        <v>28</v>
      </c>
      <c r="G441" s="5">
        <v>2293</v>
      </c>
      <c r="H441" s="5" t="s">
        <v>29</v>
      </c>
      <c r="I441" s="5" t="s">
        <v>30</v>
      </c>
      <c r="J441" s="5">
        <v>1478408400</v>
      </c>
      <c r="K441" s="5">
        <v>1479016800</v>
      </c>
      <c r="L441" s="5" t="b">
        <v>0</v>
      </c>
      <c r="M441" s="5" t="b">
        <v>0</v>
      </c>
      <c r="N441" s="5" t="s">
        <v>482</v>
      </c>
      <c r="O441" s="8">
        <f t="shared" si="257"/>
        <v>3.5528169014084505</v>
      </c>
      <c r="P441" s="9">
        <f t="shared" si="259"/>
        <v>44.003488879197555</v>
      </c>
      <c r="Q441" s="5" t="str" cm="1">
        <f t="array" ref="Q441:R441">_xlfn.TEXTSPLIT(N441,"/")</f>
        <v>film &amp; video</v>
      </c>
      <c r="R441" t="str">
        <v>science fiction</v>
      </c>
      <c r="S441" s="10">
        <f t="shared" ref="S441:T441" si="443">(((J441/60)/60)/24)+DATE(1970,1,1)</f>
        <v>42680.208333333328</v>
      </c>
      <c r="T441" s="10">
        <f t="shared" si="443"/>
        <v>42687.25</v>
      </c>
    </row>
    <row r="442" spans="1:20" ht="15.75" customHeight="1" x14ac:dyDescent="0.25">
      <c r="A442" s="5">
        <v>440</v>
      </c>
      <c r="B442" s="6" t="s">
        <v>937</v>
      </c>
      <c r="C442" s="7" t="s">
        <v>938</v>
      </c>
      <c r="D442" s="5">
        <v>102500</v>
      </c>
      <c r="E442" s="5">
        <v>165954</v>
      </c>
      <c r="F442" s="5" t="s">
        <v>28</v>
      </c>
      <c r="G442" s="5">
        <v>3131</v>
      </c>
      <c r="H442" s="5" t="s">
        <v>29</v>
      </c>
      <c r="I442" s="5" t="s">
        <v>30</v>
      </c>
      <c r="J442" s="5">
        <v>1498798800</v>
      </c>
      <c r="K442" s="5">
        <v>1499662800</v>
      </c>
      <c r="L442" s="5" t="b">
        <v>0</v>
      </c>
      <c r="M442" s="5" t="b">
        <v>0</v>
      </c>
      <c r="N442" s="5" t="s">
        <v>277</v>
      </c>
      <c r="O442" s="8">
        <f t="shared" si="257"/>
        <v>1.6190634146341463</v>
      </c>
      <c r="P442" s="9">
        <f t="shared" si="259"/>
        <v>53.003513254551258</v>
      </c>
      <c r="Q442" s="5" t="str" cm="1">
        <f t="array" ref="Q442:R442">_xlfn.TEXTSPLIT(N442,"/")</f>
        <v>film &amp; video</v>
      </c>
      <c r="R442" t="str">
        <v>television</v>
      </c>
      <c r="S442" s="10">
        <f t="shared" ref="S442:T442" si="444">(((J442/60)/60)/24)+DATE(1970,1,1)</f>
        <v>42916.208333333328</v>
      </c>
      <c r="T442" s="10">
        <f t="shared" si="444"/>
        <v>42926.208333333328</v>
      </c>
    </row>
    <row r="443" spans="1:20" ht="15.75" customHeight="1" x14ac:dyDescent="0.25">
      <c r="A443" s="5">
        <v>441</v>
      </c>
      <c r="B443" s="6" t="s">
        <v>939</v>
      </c>
      <c r="C443" s="7" t="s">
        <v>940</v>
      </c>
      <c r="D443" s="5">
        <v>7000</v>
      </c>
      <c r="E443" s="5">
        <v>1744</v>
      </c>
      <c r="F443" s="5" t="s">
        <v>22</v>
      </c>
      <c r="G443" s="5">
        <v>32</v>
      </c>
      <c r="H443" s="5" t="s">
        <v>29</v>
      </c>
      <c r="I443" s="5" t="s">
        <v>30</v>
      </c>
      <c r="J443" s="5">
        <v>1335416400</v>
      </c>
      <c r="K443" s="5">
        <v>1337835600</v>
      </c>
      <c r="L443" s="5" t="b">
        <v>0</v>
      </c>
      <c r="M443" s="5" t="b">
        <v>0</v>
      </c>
      <c r="N443" s="5" t="s">
        <v>73</v>
      </c>
      <c r="O443" s="8">
        <f t="shared" si="257"/>
        <v>0.24914285714285714</v>
      </c>
      <c r="P443" s="9">
        <f t="shared" si="259"/>
        <v>54.5</v>
      </c>
      <c r="Q443" s="5" t="str" cm="1">
        <f t="array" ref="Q443:R443">_xlfn.TEXTSPLIT(N443,"/")</f>
        <v>technology</v>
      </c>
      <c r="R443" t="str">
        <v>wearables</v>
      </c>
      <c r="S443" s="10">
        <f t="shared" ref="S443:T443" si="445">(((J443/60)/60)/24)+DATE(1970,1,1)</f>
        <v>41025.208333333336</v>
      </c>
      <c r="T443" s="10">
        <f t="shared" si="445"/>
        <v>41053.208333333336</v>
      </c>
    </row>
    <row r="444" spans="1:20" ht="15.75" customHeight="1" x14ac:dyDescent="0.25">
      <c r="A444" s="5">
        <v>442</v>
      </c>
      <c r="B444" s="6" t="s">
        <v>941</v>
      </c>
      <c r="C444" s="7" t="s">
        <v>942</v>
      </c>
      <c r="D444" s="5">
        <v>5400</v>
      </c>
      <c r="E444" s="5">
        <v>10731</v>
      </c>
      <c r="F444" s="5" t="s">
        <v>28</v>
      </c>
      <c r="G444" s="5">
        <v>143</v>
      </c>
      <c r="H444" s="5" t="s">
        <v>115</v>
      </c>
      <c r="I444" s="5" t="s">
        <v>116</v>
      </c>
      <c r="J444" s="5">
        <v>1504328400</v>
      </c>
      <c r="K444" s="5">
        <v>1505710800</v>
      </c>
      <c r="L444" s="5" t="b">
        <v>0</v>
      </c>
      <c r="M444" s="5" t="b">
        <v>0</v>
      </c>
      <c r="N444" s="5" t="s">
        <v>41</v>
      </c>
      <c r="O444" s="8">
        <f t="shared" si="257"/>
        <v>1.9872222222222222</v>
      </c>
      <c r="P444" s="9">
        <f t="shared" si="259"/>
        <v>75.04195804195804</v>
      </c>
      <c r="Q444" s="5" t="str" cm="1">
        <f t="array" ref="Q444:R444">_xlfn.TEXTSPLIT(N444,"/")</f>
        <v>theater</v>
      </c>
      <c r="R444" t="str">
        <v>plays</v>
      </c>
      <c r="S444" s="10">
        <f t="shared" ref="S444:T444" si="446">(((J444/60)/60)/24)+DATE(1970,1,1)</f>
        <v>42980.208333333328</v>
      </c>
      <c r="T444" s="10">
        <f t="shared" si="446"/>
        <v>42996.208333333328</v>
      </c>
    </row>
    <row r="445" spans="1:20" ht="15.75" customHeight="1" x14ac:dyDescent="0.25">
      <c r="A445" s="5">
        <v>443</v>
      </c>
      <c r="B445" s="6" t="s">
        <v>943</v>
      </c>
      <c r="C445" s="7" t="s">
        <v>944</v>
      </c>
      <c r="D445" s="5">
        <v>9300</v>
      </c>
      <c r="E445" s="5">
        <v>3232</v>
      </c>
      <c r="F445" s="5" t="s">
        <v>82</v>
      </c>
      <c r="G445" s="5">
        <v>90</v>
      </c>
      <c r="H445" s="5" t="s">
        <v>29</v>
      </c>
      <c r="I445" s="5" t="s">
        <v>30</v>
      </c>
      <c r="J445" s="5">
        <v>1285822800</v>
      </c>
      <c r="K445" s="5">
        <v>1287464400</v>
      </c>
      <c r="L445" s="5" t="b">
        <v>0</v>
      </c>
      <c r="M445" s="5" t="b">
        <v>0</v>
      </c>
      <c r="N445" s="5" t="s">
        <v>41</v>
      </c>
      <c r="O445" s="8">
        <f t="shared" si="257"/>
        <v>0.34752688172043011</v>
      </c>
      <c r="P445" s="9">
        <f t="shared" si="259"/>
        <v>35.911111111111111</v>
      </c>
      <c r="Q445" s="5" t="str" cm="1">
        <f t="array" ref="Q445:R445">_xlfn.TEXTSPLIT(N445,"/")</f>
        <v>theater</v>
      </c>
      <c r="R445" t="str">
        <v>plays</v>
      </c>
      <c r="S445" s="10">
        <f t="shared" ref="S445:T445" si="447">(((J445/60)/60)/24)+DATE(1970,1,1)</f>
        <v>40451.208333333336</v>
      </c>
      <c r="T445" s="10">
        <f t="shared" si="447"/>
        <v>40470.208333333336</v>
      </c>
    </row>
    <row r="446" spans="1:20" ht="15.75" customHeight="1" x14ac:dyDescent="0.25">
      <c r="A446" s="5">
        <v>444</v>
      </c>
      <c r="B446" s="6" t="s">
        <v>756</v>
      </c>
      <c r="C446" s="7" t="s">
        <v>945</v>
      </c>
      <c r="D446" s="5">
        <v>6200</v>
      </c>
      <c r="E446" s="5">
        <v>10938</v>
      </c>
      <c r="F446" s="5" t="s">
        <v>28</v>
      </c>
      <c r="G446" s="5">
        <v>296</v>
      </c>
      <c r="H446" s="5" t="s">
        <v>29</v>
      </c>
      <c r="I446" s="5" t="s">
        <v>30</v>
      </c>
      <c r="J446" s="5">
        <v>1311483600</v>
      </c>
      <c r="K446" s="5">
        <v>1311656400</v>
      </c>
      <c r="L446" s="5" t="b">
        <v>0</v>
      </c>
      <c r="M446" s="5" t="b">
        <v>1</v>
      </c>
      <c r="N446" s="5" t="s">
        <v>68</v>
      </c>
      <c r="O446" s="8">
        <f t="shared" si="257"/>
        <v>1.7641935483870967</v>
      </c>
      <c r="P446" s="9">
        <f t="shared" si="259"/>
        <v>36.952702702702702</v>
      </c>
      <c r="Q446" s="5" t="str" cm="1">
        <f t="array" ref="Q446:R446">_xlfn.TEXTSPLIT(N446,"/")</f>
        <v>music</v>
      </c>
      <c r="R446" t="str">
        <v>indie rock</v>
      </c>
      <c r="S446" s="10">
        <f t="shared" ref="S446:T446" si="448">(((J446/60)/60)/24)+DATE(1970,1,1)</f>
        <v>40748.208333333336</v>
      </c>
      <c r="T446" s="10">
        <f t="shared" si="448"/>
        <v>40750.208333333336</v>
      </c>
    </row>
    <row r="447" spans="1:20" ht="15.75" customHeight="1" x14ac:dyDescent="0.25">
      <c r="A447" s="5">
        <v>445</v>
      </c>
      <c r="B447" s="6" t="s">
        <v>946</v>
      </c>
      <c r="C447" s="7" t="s">
        <v>947</v>
      </c>
      <c r="D447" s="5">
        <v>2100</v>
      </c>
      <c r="E447" s="5">
        <v>10739</v>
      </c>
      <c r="F447" s="5" t="s">
        <v>28</v>
      </c>
      <c r="G447" s="5">
        <v>170</v>
      </c>
      <c r="H447" s="5" t="s">
        <v>29</v>
      </c>
      <c r="I447" s="5" t="s">
        <v>30</v>
      </c>
      <c r="J447" s="5">
        <v>1291356000</v>
      </c>
      <c r="K447" s="5">
        <v>1293170400</v>
      </c>
      <c r="L447" s="5" t="b">
        <v>0</v>
      </c>
      <c r="M447" s="5" t="b">
        <v>1</v>
      </c>
      <c r="N447" s="5" t="s">
        <v>41</v>
      </c>
      <c r="O447" s="8">
        <f t="shared" si="257"/>
        <v>5.1138095238095236</v>
      </c>
      <c r="P447" s="9">
        <f t="shared" si="259"/>
        <v>63.170588235294119</v>
      </c>
      <c r="Q447" s="5" t="str" cm="1">
        <f t="array" ref="Q447:R447">_xlfn.TEXTSPLIT(N447,"/")</f>
        <v>theater</v>
      </c>
      <c r="R447" t="str">
        <v>plays</v>
      </c>
      <c r="S447" s="10">
        <f t="shared" ref="S447:T447" si="449">(((J447/60)/60)/24)+DATE(1970,1,1)</f>
        <v>40515.25</v>
      </c>
      <c r="T447" s="10">
        <f t="shared" si="449"/>
        <v>40536.25</v>
      </c>
    </row>
    <row r="448" spans="1:20" ht="15.75" customHeight="1" x14ac:dyDescent="0.25">
      <c r="A448" s="5">
        <v>446</v>
      </c>
      <c r="B448" s="6" t="s">
        <v>948</v>
      </c>
      <c r="C448" s="7" t="s">
        <v>949</v>
      </c>
      <c r="D448" s="5">
        <v>6800</v>
      </c>
      <c r="E448" s="5">
        <v>5579</v>
      </c>
      <c r="F448" s="5" t="s">
        <v>22</v>
      </c>
      <c r="G448" s="5">
        <v>186</v>
      </c>
      <c r="H448" s="5" t="s">
        <v>29</v>
      </c>
      <c r="I448" s="5" t="s">
        <v>30</v>
      </c>
      <c r="J448" s="5">
        <v>1355810400</v>
      </c>
      <c r="K448" s="5">
        <v>1355983200</v>
      </c>
      <c r="L448" s="5" t="b">
        <v>0</v>
      </c>
      <c r="M448" s="5" t="b">
        <v>0</v>
      </c>
      <c r="N448" s="5" t="s">
        <v>73</v>
      </c>
      <c r="O448" s="8">
        <f t="shared" si="257"/>
        <v>0.82044117647058823</v>
      </c>
      <c r="P448" s="9">
        <f t="shared" si="259"/>
        <v>29.99462365591398</v>
      </c>
      <c r="Q448" s="5" t="str" cm="1">
        <f t="array" ref="Q448:R448">_xlfn.TEXTSPLIT(N448,"/")</f>
        <v>technology</v>
      </c>
      <c r="R448" t="str">
        <v>wearables</v>
      </c>
      <c r="S448" s="10">
        <f t="shared" ref="S448:T448" si="450">(((J448/60)/60)/24)+DATE(1970,1,1)</f>
        <v>41261.25</v>
      </c>
      <c r="T448" s="10">
        <f t="shared" si="450"/>
        <v>41263.25</v>
      </c>
    </row>
    <row r="449" spans="1:20" ht="15.75" customHeight="1" x14ac:dyDescent="0.25">
      <c r="A449" s="5">
        <v>447</v>
      </c>
      <c r="B449" s="6" t="s">
        <v>950</v>
      </c>
      <c r="C449" s="7" t="s">
        <v>951</v>
      </c>
      <c r="D449" s="5">
        <v>155200</v>
      </c>
      <c r="E449" s="5">
        <v>37754</v>
      </c>
      <c r="F449" s="5" t="s">
        <v>82</v>
      </c>
      <c r="G449" s="5">
        <v>439</v>
      </c>
      <c r="H449" s="5" t="s">
        <v>48</v>
      </c>
      <c r="I449" s="5" t="s">
        <v>49</v>
      </c>
      <c r="J449" s="5">
        <v>1513663200</v>
      </c>
      <c r="K449" s="5">
        <v>1515045600</v>
      </c>
      <c r="L449" s="5" t="b">
        <v>0</v>
      </c>
      <c r="M449" s="5" t="b">
        <v>0</v>
      </c>
      <c r="N449" s="5" t="s">
        <v>277</v>
      </c>
      <c r="O449" s="8">
        <f t="shared" si="257"/>
        <v>0.24326030927835052</v>
      </c>
      <c r="P449" s="9">
        <f t="shared" si="259"/>
        <v>86</v>
      </c>
      <c r="Q449" s="5" t="str" cm="1">
        <f t="array" ref="Q449:R449">_xlfn.TEXTSPLIT(N449,"/")</f>
        <v>film &amp; video</v>
      </c>
      <c r="R449" t="str">
        <v>television</v>
      </c>
      <c r="S449" s="10">
        <f t="shared" ref="S449:T449" si="451">(((J449/60)/60)/24)+DATE(1970,1,1)</f>
        <v>43088.25</v>
      </c>
      <c r="T449" s="10">
        <f t="shared" si="451"/>
        <v>43104.25</v>
      </c>
    </row>
    <row r="450" spans="1:20" ht="15.75" customHeight="1" x14ac:dyDescent="0.25">
      <c r="A450" s="5">
        <v>448</v>
      </c>
      <c r="B450" s="6" t="s">
        <v>952</v>
      </c>
      <c r="C450" s="7" t="s">
        <v>953</v>
      </c>
      <c r="D450" s="5">
        <v>89900</v>
      </c>
      <c r="E450" s="5">
        <v>45384</v>
      </c>
      <c r="F450" s="5" t="s">
        <v>22</v>
      </c>
      <c r="G450" s="5">
        <v>605</v>
      </c>
      <c r="H450" s="5" t="s">
        <v>29</v>
      </c>
      <c r="I450" s="5" t="s">
        <v>30</v>
      </c>
      <c r="J450" s="5">
        <v>1365915600</v>
      </c>
      <c r="K450" s="5">
        <v>1366088400</v>
      </c>
      <c r="L450" s="5" t="b">
        <v>0</v>
      </c>
      <c r="M450" s="5" t="b">
        <v>1</v>
      </c>
      <c r="N450" s="5" t="s">
        <v>97</v>
      </c>
      <c r="O450" s="8">
        <f t="shared" si="257"/>
        <v>0.50482758620689661</v>
      </c>
      <c r="P450" s="9">
        <f t="shared" si="259"/>
        <v>75.014876033057845</v>
      </c>
      <c r="Q450" s="5" t="str" cm="1">
        <f t="array" ref="Q450:R450">_xlfn.TEXTSPLIT(N450,"/")</f>
        <v>games</v>
      </c>
      <c r="R450" t="str">
        <v>video games</v>
      </c>
      <c r="S450" s="10">
        <f t="shared" ref="S450:T450" si="452">(((J450/60)/60)/24)+DATE(1970,1,1)</f>
        <v>41378.208333333336</v>
      </c>
      <c r="T450" s="10">
        <f t="shared" si="452"/>
        <v>41380.208333333336</v>
      </c>
    </row>
    <row r="451" spans="1:20" ht="15.75" customHeight="1" x14ac:dyDescent="0.25">
      <c r="A451" s="5">
        <v>449</v>
      </c>
      <c r="B451" s="6" t="s">
        <v>954</v>
      </c>
      <c r="C451" s="7" t="s">
        <v>955</v>
      </c>
      <c r="D451" s="5">
        <v>900</v>
      </c>
      <c r="E451" s="5">
        <v>8703</v>
      </c>
      <c r="F451" s="5" t="s">
        <v>28</v>
      </c>
      <c r="G451" s="5">
        <v>86</v>
      </c>
      <c r="H451" s="5" t="s">
        <v>44</v>
      </c>
      <c r="I451" s="5" t="s">
        <v>45</v>
      </c>
      <c r="J451" s="5">
        <v>1551852000</v>
      </c>
      <c r="K451" s="5">
        <v>1553317200</v>
      </c>
      <c r="L451" s="5" t="b">
        <v>0</v>
      </c>
      <c r="M451" s="5" t="b">
        <v>0</v>
      </c>
      <c r="N451" s="5" t="s">
        <v>97</v>
      </c>
      <c r="O451" s="8">
        <f t="shared" si="257"/>
        <v>9.67</v>
      </c>
      <c r="P451" s="9">
        <f t="shared" si="259"/>
        <v>101.19767441860465</v>
      </c>
      <c r="Q451" s="5" t="str" cm="1">
        <f t="array" ref="Q451:R451">_xlfn.TEXTSPLIT(N451,"/")</f>
        <v>games</v>
      </c>
      <c r="R451" t="str">
        <v>video games</v>
      </c>
      <c r="S451" s="10">
        <f t="shared" ref="S451:T451" si="453">(((J451/60)/60)/24)+DATE(1970,1,1)</f>
        <v>43530.25</v>
      </c>
      <c r="T451" s="10">
        <f t="shared" si="453"/>
        <v>43547.208333333328</v>
      </c>
    </row>
    <row r="452" spans="1:20" ht="15.75" customHeight="1" x14ac:dyDescent="0.25">
      <c r="A452" s="5">
        <v>450</v>
      </c>
      <c r="B452" s="6" t="s">
        <v>956</v>
      </c>
      <c r="C452" s="7" t="s">
        <v>957</v>
      </c>
      <c r="D452" s="5">
        <v>100</v>
      </c>
      <c r="E452" s="5">
        <v>4</v>
      </c>
      <c r="F452" s="5" t="s">
        <v>22</v>
      </c>
      <c r="G452" s="5">
        <v>1</v>
      </c>
      <c r="H452" s="5" t="s">
        <v>23</v>
      </c>
      <c r="I452" s="5" t="s">
        <v>24</v>
      </c>
      <c r="J452" s="5">
        <v>1540098000</v>
      </c>
      <c r="K452" s="5">
        <v>1542088800</v>
      </c>
      <c r="L452" s="5" t="b">
        <v>0</v>
      </c>
      <c r="M452" s="5" t="b">
        <v>0</v>
      </c>
      <c r="N452" s="5" t="s">
        <v>79</v>
      </c>
      <c r="O452" s="8">
        <f t="shared" si="257"/>
        <v>0.04</v>
      </c>
      <c r="P452" s="9">
        <f t="shared" si="259"/>
        <v>4</v>
      </c>
      <c r="Q452" s="5" t="str" cm="1">
        <f t="array" ref="Q452:R452">_xlfn.TEXTSPLIT(N452,"/")</f>
        <v>film &amp; video</v>
      </c>
      <c r="R452" t="str">
        <v>animation</v>
      </c>
      <c r="S452" s="10">
        <f t="shared" ref="S452:T452" si="454">(((J452/60)/60)/24)+DATE(1970,1,1)</f>
        <v>43394.208333333328</v>
      </c>
      <c r="T452" s="10">
        <f t="shared" si="454"/>
        <v>43417.25</v>
      </c>
    </row>
    <row r="453" spans="1:20" ht="15.75" customHeight="1" x14ac:dyDescent="0.25">
      <c r="A453" s="5">
        <v>451</v>
      </c>
      <c r="B453" s="6" t="s">
        <v>958</v>
      </c>
      <c r="C453" s="7" t="s">
        <v>959</v>
      </c>
      <c r="D453" s="5">
        <v>148400</v>
      </c>
      <c r="E453" s="5">
        <v>182302</v>
      </c>
      <c r="F453" s="5" t="s">
        <v>28</v>
      </c>
      <c r="G453" s="5">
        <v>6286</v>
      </c>
      <c r="H453" s="5" t="s">
        <v>29</v>
      </c>
      <c r="I453" s="5" t="s">
        <v>30</v>
      </c>
      <c r="J453" s="5">
        <v>1500440400</v>
      </c>
      <c r="K453" s="5">
        <v>1503118800</v>
      </c>
      <c r="L453" s="5" t="b">
        <v>0</v>
      </c>
      <c r="M453" s="5" t="b">
        <v>0</v>
      </c>
      <c r="N453" s="5" t="s">
        <v>31</v>
      </c>
      <c r="O453" s="8">
        <f t="shared" si="257"/>
        <v>1.2284501347708894</v>
      </c>
      <c r="P453" s="9">
        <f t="shared" si="259"/>
        <v>29.001272669424118</v>
      </c>
      <c r="Q453" s="5" t="str" cm="1">
        <f t="array" ref="Q453:R453">_xlfn.TEXTSPLIT(N453,"/")</f>
        <v>music</v>
      </c>
      <c r="R453" t="str">
        <v>rock</v>
      </c>
      <c r="S453" s="10">
        <f t="shared" ref="S453:T453" si="455">(((J453/60)/60)/24)+DATE(1970,1,1)</f>
        <v>42935.208333333328</v>
      </c>
      <c r="T453" s="10">
        <f t="shared" si="455"/>
        <v>42966.208333333328</v>
      </c>
    </row>
    <row r="454" spans="1:20" ht="15.75" customHeight="1" x14ac:dyDescent="0.25">
      <c r="A454" s="5">
        <v>452</v>
      </c>
      <c r="B454" s="6" t="s">
        <v>960</v>
      </c>
      <c r="C454" s="7" t="s">
        <v>961</v>
      </c>
      <c r="D454" s="5">
        <v>4800</v>
      </c>
      <c r="E454" s="5">
        <v>3045</v>
      </c>
      <c r="F454" s="5" t="s">
        <v>22</v>
      </c>
      <c r="G454" s="5">
        <v>31</v>
      </c>
      <c r="H454" s="5" t="s">
        <v>29</v>
      </c>
      <c r="I454" s="5" t="s">
        <v>30</v>
      </c>
      <c r="J454" s="5">
        <v>1278392400</v>
      </c>
      <c r="K454" s="5">
        <v>1278478800</v>
      </c>
      <c r="L454" s="5" t="b">
        <v>0</v>
      </c>
      <c r="M454" s="5" t="b">
        <v>0</v>
      </c>
      <c r="N454" s="5" t="s">
        <v>61</v>
      </c>
      <c r="O454" s="8">
        <f t="shared" si="257"/>
        <v>0.63437500000000002</v>
      </c>
      <c r="P454" s="9">
        <f t="shared" si="259"/>
        <v>98.225806451612897</v>
      </c>
      <c r="Q454" s="5" t="str" cm="1">
        <f t="array" ref="Q454:R454">_xlfn.TEXTSPLIT(N454,"/")</f>
        <v>film &amp; video</v>
      </c>
      <c r="R454" t="str">
        <v>drama</v>
      </c>
      <c r="S454" s="10">
        <f t="shared" ref="S454:T454" si="456">(((J454/60)/60)/24)+DATE(1970,1,1)</f>
        <v>40365.208333333336</v>
      </c>
      <c r="T454" s="10">
        <f t="shared" si="456"/>
        <v>40366.208333333336</v>
      </c>
    </row>
    <row r="455" spans="1:20" ht="15.75" customHeight="1" x14ac:dyDescent="0.25">
      <c r="A455" s="5">
        <v>453</v>
      </c>
      <c r="B455" s="6" t="s">
        <v>962</v>
      </c>
      <c r="C455" s="7" t="s">
        <v>963</v>
      </c>
      <c r="D455" s="5">
        <v>182400</v>
      </c>
      <c r="E455" s="5">
        <v>102749</v>
      </c>
      <c r="F455" s="5" t="s">
        <v>22</v>
      </c>
      <c r="G455" s="5">
        <v>1181</v>
      </c>
      <c r="H455" s="5" t="s">
        <v>29</v>
      </c>
      <c r="I455" s="5" t="s">
        <v>30</v>
      </c>
      <c r="J455" s="5">
        <v>1480572000</v>
      </c>
      <c r="K455" s="5">
        <v>1484114400</v>
      </c>
      <c r="L455" s="5" t="b">
        <v>0</v>
      </c>
      <c r="M455" s="5" t="b">
        <v>0</v>
      </c>
      <c r="N455" s="5" t="s">
        <v>482</v>
      </c>
      <c r="O455" s="8">
        <f t="shared" si="257"/>
        <v>0.56331688596491225</v>
      </c>
      <c r="P455" s="9">
        <f t="shared" si="259"/>
        <v>87.001693480101608</v>
      </c>
      <c r="Q455" s="5" t="str" cm="1">
        <f t="array" ref="Q455:R455">_xlfn.TEXTSPLIT(N455,"/")</f>
        <v>film &amp; video</v>
      </c>
      <c r="R455" t="str">
        <v>science fiction</v>
      </c>
      <c r="S455" s="10">
        <f t="shared" ref="S455:T455" si="457">(((J455/60)/60)/24)+DATE(1970,1,1)</f>
        <v>42705.25</v>
      </c>
      <c r="T455" s="10">
        <f t="shared" si="457"/>
        <v>42746.25</v>
      </c>
    </row>
    <row r="456" spans="1:20" ht="15.75" customHeight="1" x14ac:dyDescent="0.25">
      <c r="A456" s="5">
        <v>454</v>
      </c>
      <c r="B456" s="6" t="s">
        <v>964</v>
      </c>
      <c r="C456" s="7" t="s">
        <v>965</v>
      </c>
      <c r="D456" s="5">
        <v>4000</v>
      </c>
      <c r="E456" s="5">
        <v>1763</v>
      </c>
      <c r="F456" s="5" t="s">
        <v>22</v>
      </c>
      <c r="G456" s="5">
        <v>39</v>
      </c>
      <c r="H456" s="5" t="s">
        <v>29</v>
      </c>
      <c r="I456" s="5" t="s">
        <v>30</v>
      </c>
      <c r="J456" s="5">
        <v>1382331600</v>
      </c>
      <c r="K456" s="5">
        <v>1385445600</v>
      </c>
      <c r="L456" s="5" t="b">
        <v>0</v>
      </c>
      <c r="M456" s="5" t="b">
        <v>1</v>
      </c>
      <c r="N456" s="5" t="s">
        <v>61</v>
      </c>
      <c r="O456" s="8">
        <f t="shared" si="257"/>
        <v>0.44074999999999998</v>
      </c>
      <c r="P456" s="9">
        <f t="shared" si="259"/>
        <v>45.205128205128204</v>
      </c>
      <c r="Q456" s="5" t="str" cm="1">
        <f t="array" ref="Q456:R456">_xlfn.TEXTSPLIT(N456,"/")</f>
        <v>film &amp; video</v>
      </c>
      <c r="R456" t="str">
        <v>drama</v>
      </c>
      <c r="S456" s="10">
        <f t="shared" ref="S456:T456" si="458">(((J456/60)/60)/24)+DATE(1970,1,1)</f>
        <v>41568.208333333336</v>
      </c>
      <c r="T456" s="10">
        <f t="shared" si="458"/>
        <v>41604.25</v>
      </c>
    </row>
    <row r="457" spans="1:20" ht="15.75" customHeight="1" x14ac:dyDescent="0.25">
      <c r="A457" s="5">
        <v>455</v>
      </c>
      <c r="B457" s="6" t="s">
        <v>966</v>
      </c>
      <c r="C457" s="7" t="s">
        <v>967</v>
      </c>
      <c r="D457" s="5">
        <v>116500</v>
      </c>
      <c r="E457" s="5">
        <v>137904</v>
      </c>
      <c r="F457" s="5" t="s">
        <v>28</v>
      </c>
      <c r="G457" s="5">
        <v>3727</v>
      </c>
      <c r="H457" s="5" t="s">
        <v>29</v>
      </c>
      <c r="I457" s="5" t="s">
        <v>30</v>
      </c>
      <c r="J457" s="5">
        <v>1316754000</v>
      </c>
      <c r="K457" s="5">
        <v>1318741200</v>
      </c>
      <c r="L457" s="5" t="b">
        <v>0</v>
      </c>
      <c r="M457" s="5" t="b">
        <v>0</v>
      </c>
      <c r="N457" s="5" t="s">
        <v>41</v>
      </c>
      <c r="O457" s="8">
        <f t="shared" si="257"/>
        <v>1.1837253218884121</v>
      </c>
      <c r="P457" s="9">
        <f t="shared" si="259"/>
        <v>37.001341561577675</v>
      </c>
      <c r="Q457" s="5" t="str" cm="1">
        <f t="array" ref="Q457:R457">_xlfn.TEXTSPLIT(N457,"/")</f>
        <v>theater</v>
      </c>
      <c r="R457" t="str">
        <v>plays</v>
      </c>
      <c r="S457" s="10">
        <f t="shared" ref="S457:T457" si="459">(((J457/60)/60)/24)+DATE(1970,1,1)</f>
        <v>40809.208333333336</v>
      </c>
      <c r="T457" s="10">
        <f t="shared" si="459"/>
        <v>40832.208333333336</v>
      </c>
    </row>
    <row r="458" spans="1:20" ht="15.75" customHeight="1" x14ac:dyDescent="0.25">
      <c r="A458" s="5">
        <v>456</v>
      </c>
      <c r="B458" s="6" t="s">
        <v>968</v>
      </c>
      <c r="C458" s="7" t="s">
        <v>969</v>
      </c>
      <c r="D458" s="5">
        <v>146400</v>
      </c>
      <c r="E458" s="5">
        <v>152438</v>
      </c>
      <c r="F458" s="5" t="s">
        <v>28</v>
      </c>
      <c r="G458" s="5">
        <v>1605</v>
      </c>
      <c r="H458" s="5" t="s">
        <v>29</v>
      </c>
      <c r="I458" s="5" t="s">
        <v>30</v>
      </c>
      <c r="J458" s="5">
        <v>1518242400</v>
      </c>
      <c r="K458" s="5">
        <v>1518242400</v>
      </c>
      <c r="L458" s="5" t="b">
        <v>0</v>
      </c>
      <c r="M458" s="5" t="b">
        <v>1</v>
      </c>
      <c r="N458" s="5" t="s">
        <v>68</v>
      </c>
      <c r="O458" s="8">
        <f t="shared" si="257"/>
        <v>1.041243169398907</v>
      </c>
      <c r="P458" s="9">
        <f t="shared" si="259"/>
        <v>94.976947040498445</v>
      </c>
      <c r="Q458" s="5" t="str" cm="1">
        <f t="array" ref="Q458:R458">_xlfn.TEXTSPLIT(N458,"/")</f>
        <v>music</v>
      </c>
      <c r="R458" t="str">
        <v>indie rock</v>
      </c>
      <c r="S458" s="10">
        <f t="shared" ref="S458:T458" si="460">(((J458/60)/60)/24)+DATE(1970,1,1)</f>
        <v>43141.25</v>
      </c>
      <c r="T458" s="10">
        <f t="shared" si="460"/>
        <v>43141.25</v>
      </c>
    </row>
    <row r="459" spans="1:20" ht="15.75" customHeight="1" x14ac:dyDescent="0.25">
      <c r="A459" s="5">
        <v>457</v>
      </c>
      <c r="B459" s="6" t="s">
        <v>970</v>
      </c>
      <c r="C459" s="7" t="s">
        <v>971</v>
      </c>
      <c r="D459" s="5">
        <v>5000</v>
      </c>
      <c r="E459" s="5">
        <v>1332</v>
      </c>
      <c r="F459" s="5" t="s">
        <v>22</v>
      </c>
      <c r="G459" s="5">
        <v>46</v>
      </c>
      <c r="H459" s="5" t="s">
        <v>29</v>
      </c>
      <c r="I459" s="5" t="s">
        <v>30</v>
      </c>
      <c r="J459" s="5">
        <v>1476421200</v>
      </c>
      <c r="K459" s="5">
        <v>1476594000</v>
      </c>
      <c r="L459" s="5" t="b">
        <v>0</v>
      </c>
      <c r="M459" s="5" t="b">
        <v>0</v>
      </c>
      <c r="N459" s="5" t="s">
        <v>41</v>
      </c>
      <c r="O459" s="8">
        <f t="shared" si="257"/>
        <v>0.26640000000000003</v>
      </c>
      <c r="P459" s="9">
        <f t="shared" si="259"/>
        <v>28.956521739130434</v>
      </c>
      <c r="Q459" s="5" t="str" cm="1">
        <f t="array" ref="Q459:R459">_xlfn.TEXTSPLIT(N459,"/")</f>
        <v>theater</v>
      </c>
      <c r="R459" t="str">
        <v>plays</v>
      </c>
      <c r="S459" s="10">
        <f t="shared" ref="S459:T459" si="461">(((J459/60)/60)/24)+DATE(1970,1,1)</f>
        <v>42657.208333333328</v>
      </c>
      <c r="T459" s="10">
        <f t="shared" si="461"/>
        <v>42659.208333333328</v>
      </c>
    </row>
    <row r="460" spans="1:20" ht="15.75" customHeight="1" x14ac:dyDescent="0.25">
      <c r="A460" s="5">
        <v>458</v>
      </c>
      <c r="B460" s="6" t="s">
        <v>972</v>
      </c>
      <c r="C460" s="7" t="s">
        <v>973</v>
      </c>
      <c r="D460" s="5">
        <v>33800</v>
      </c>
      <c r="E460" s="5">
        <v>118706</v>
      </c>
      <c r="F460" s="5" t="s">
        <v>28</v>
      </c>
      <c r="G460" s="5">
        <v>2120</v>
      </c>
      <c r="H460" s="5" t="s">
        <v>29</v>
      </c>
      <c r="I460" s="5" t="s">
        <v>30</v>
      </c>
      <c r="J460" s="5">
        <v>1269752400</v>
      </c>
      <c r="K460" s="5">
        <v>1273554000</v>
      </c>
      <c r="L460" s="5" t="b">
        <v>0</v>
      </c>
      <c r="M460" s="5" t="b">
        <v>0</v>
      </c>
      <c r="N460" s="5" t="s">
        <v>41</v>
      </c>
      <c r="O460" s="8">
        <f t="shared" si="257"/>
        <v>3.5120118343195266</v>
      </c>
      <c r="P460" s="9">
        <f t="shared" si="259"/>
        <v>55.993396226415094</v>
      </c>
      <c r="Q460" s="5" t="str" cm="1">
        <f t="array" ref="Q460:R460">_xlfn.TEXTSPLIT(N460,"/")</f>
        <v>theater</v>
      </c>
      <c r="R460" t="str">
        <v>plays</v>
      </c>
      <c r="S460" s="10">
        <f t="shared" ref="S460:T460" si="462">(((J460/60)/60)/24)+DATE(1970,1,1)</f>
        <v>40265.208333333336</v>
      </c>
      <c r="T460" s="10">
        <f t="shared" si="462"/>
        <v>40309.208333333336</v>
      </c>
    </row>
    <row r="461" spans="1:20" ht="15.75" customHeight="1" x14ac:dyDescent="0.25">
      <c r="A461" s="5">
        <v>459</v>
      </c>
      <c r="B461" s="6" t="s">
        <v>974</v>
      </c>
      <c r="C461" s="7" t="s">
        <v>975</v>
      </c>
      <c r="D461" s="5">
        <v>6300</v>
      </c>
      <c r="E461" s="5">
        <v>5674</v>
      </c>
      <c r="F461" s="5" t="s">
        <v>22</v>
      </c>
      <c r="G461" s="5">
        <v>105</v>
      </c>
      <c r="H461" s="5" t="s">
        <v>29</v>
      </c>
      <c r="I461" s="5" t="s">
        <v>30</v>
      </c>
      <c r="J461" s="5">
        <v>1419746400</v>
      </c>
      <c r="K461" s="5">
        <v>1421906400</v>
      </c>
      <c r="L461" s="5" t="b">
        <v>0</v>
      </c>
      <c r="M461" s="5" t="b">
        <v>0</v>
      </c>
      <c r="N461" s="5" t="s">
        <v>50</v>
      </c>
      <c r="O461" s="8">
        <f t="shared" si="257"/>
        <v>0.90063492063492068</v>
      </c>
      <c r="P461" s="9">
        <f t="shared" si="259"/>
        <v>54.038095238095238</v>
      </c>
      <c r="Q461" s="5" t="str" cm="1">
        <f t="array" ref="Q461:R461">_xlfn.TEXTSPLIT(N461,"/")</f>
        <v>film &amp; video</v>
      </c>
      <c r="R461" t="str">
        <v>documentary</v>
      </c>
      <c r="S461" s="10">
        <f t="shared" ref="S461:T461" si="463">(((J461/60)/60)/24)+DATE(1970,1,1)</f>
        <v>42001.25</v>
      </c>
      <c r="T461" s="10">
        <f t="shared" si="463"/>
        <v>42026.25</v>
      </c>
    </row>
    <row r="462" spans="1:20" ht="15.75" customHeight="1" x14ac:dyDescent="0.25">
      <c r="A462" s="5">
        <v>460</v>
      </c>
      <c r="B462" s="6" t="s">
        <v>976</v>
      </c>
      <c r="C462" s="7" t="s">
        <v>977</v>
      </c>
      <c r="D462" s="5">
        <v>2400</v>
      </c>
      <c r="E462" s="5">
        <v>4119</v>
      </c>
      <c r="F462" s="5" t="s">
        <v>28</v>
      </c>
      <c r="G462" s="5">
        <v>50</v>
      </c>
      <c r="H462" s="5" t="s">
        <v>29</v>
      </c>
      <c r="I462" s="5" t="s">
        <v>30</v>
      </c>
      <c r="J462" s="5">
        <v>1281330000</v>
      </c>
      <c r="K462" s="5">
        <v>1281589200</v>
      </c>
      <c r="L462" s="5" t="b">
        <v>0</v>
      </c>
      <c r="M462" s="5" t="b">
        <v>0</v>
      </c>
      <c r="N462" s="5" t="s">
        <v>41</v>
      </c>
      <c r="O462" s="8">
        <f t="shared" si="257"/>
        <v>1.7162500000000001</v>
      </c>
      <c r="P462" s="9">
        <f t="shared" si="259"/>
        <v>82.38</v>
      </c>
      <c r="Q462" s="5" t="str" cm="1">
        <f t="array" ref="Q462:R462">_xlfn.TEXTSPLIT(N462,"/")</f>
        <v>theater</v>
      </c>
      <c r="R462" t="str">
        <v>plays</v>
      </c>
      <c r="S462" s="10">
        <f t="shared" ref="S462:T462" si="464">(((J462/60)/60)/24)+DATE(1970,1,1)</f>
        <v>40399.208333333336</v>
      </c>
      <c r="T462" s="10">
        <f t="shared" si="464"/>
        <v>40402.208333333336</v>
      </c>
    </row>
    <row r="463" spans="1:20" ht="15.75" customHeight="1" x14ac:dyDescent="0.25">
      <c r="A463" s="5">
        <v>461</v>
      </c>
      <c r="B463" s="6" t="s">
        <v>978</v>
      </c>
      <c r="C463" s="7" t="s">
        <v>979</v>
      </c>
      <c r="D463" s="5">
        <v>98800</v>
      </c>
      <c r="E463" s="5">
        <v>139354</v>
      </c>
      <c r="F463" s="5" t="s">
        <v>28</v>
      </c>
      <c r="G463" s="5">
        <v>2080</v>
      </c>
      <c r="H463" s="5" t="s">
        <v>29</v>
      </c>
      <c r="I463" s="5" t="s">
        <v>30</v>
      </c>
      <c r="J463" s="5">
        <v>1398661200</v>
      </c>
      <c r="K463" s="5">
        <v>1400389200</v>
      </c>
      <c r="L463" s="5" t="b">
        <v>0</v>
      </c>
      <c r="M463" s="5" t="b">
        <v>0</v>
      </c>
      <c r="N463" s="5" t="s">
        <v>61</v>
      </c>
      <c r="O463" s="8">
        <f t="shared" si="257"/>
        <v>1.4104655870445344</v>
      </c>
      <c r="P463" s="9">
        <f t="shared" si="259"/>
        <v>66.997115384615384</v>
      </c>
      <c r="Q463" s="5" t="str" cm="1">
        <f t="array" ref="Q463:R463">_xlfn.TEXTSPLIT(N463,"/")</f>
        <v>film &amp; video</v>
      </c>
      <c r="R463" t="str">
        <v>drama</v>
      </c>
      <c r="S463" s="10">
        <f t="shared" ref="S463:T463" si="465">(((J463/60)/60)/24)+DATE(1970,1,1)</f>
        <v>41757.208333333336</v>
      </c>
      <c r="T463" s="10">
        <f t="shared" si="465"/>
        <v>41777.208333333336</v>
      </c>
    </row>
    <row r="464" spans="1:20" ht="15.75" customHeight="1" x14ac:dyDescent="0.25">
      <c r="A464" s="5">
        <v>462</v>
      </c>
      <c r="B464" s="6" t="s">
        <v>980</v>
      </c>
      <c r="C464" s="7" t="s">
        <v>981</v>
      </c>
      <c r="D464" s="5">
        <v>188800</v>
      </c>
      <c r="E464" s="5">
        <v>57734</v>
      </c>
      <c r="F464" s="5" t="s">
        <v>22</v>
      </c>
      <c r="G464" s="5">
        <v>535</v>
      </c>
      <c r="H464" s="5" t="s">
        <v>29</v>
      </c>
      <c r="I464" s="5" t="s">
        <v>30</v>
      </c>
      <c r="J464" s="5">
        <v>1359525600</v>
      </c>
      <c r="K464" s="5">
        <v>1362808800</v>
      </c>
      <c r="L464" s="5" t="b">
        <v>0</v>
      </c>
      <c r="M464" s="5" t="b">
        <v>0</v>
      </c>
      <c r="N464" s="5" t="s">
        <v>300</v>
      </c>
      <c r="O464" s="8">
        <f t="shared" si="257"/>
        <v>0.30579449152542371</v>
      </c>
      <c r="P464" s="9">
        <f t="shared" si="259"/>
        <v>107.91401869158878</v>
      </c>
      <c r="Q464" s="5" t="str" cm="1">
        <f t="array" ref="Q464:R464">_xlfn.TEXTSPLIT(N464,"/")</f>
        <v>games</v>
      </c>
      <c r="R464" t="str">
        <v>mobile games</v>
      </c>
      <c r="S464" s="10">
        <f t="shared" ref="S464:T464" si="466">(((J464/60)/60)/24)+DATE(1970,1,1)</f>
        <v>41304.25</v>
      </c>
      <c r="T464" s="10">
        <f t="shared" si="466"/>
        <v>41342.25</v>
      </c>
    </row>
    <row r="465" spans="1:20" ht="15.75" customHeight="1" x14ac:dyDescent="0.25">
      <c r="A465" s="5">
        <v>463</v>
      </c>
      <c r="B465" s="6" t="s">
        <v>982</v>
      </c>
      <c r="C465" s="7" t="s">
        <v>983</v>
      </c>
      <c r="D465" s="5">
        <v>134300</v>
      </c>
      <c r="E465" s="5">
        <v>145265</v>
      </c>
      <c r="F465" s="5" t="s">
        <v>28</v>
      </c>
      <c r="G465" s="5">
        <v>2105</v>
      </c>
      <c r="H465" s="5" t="s">
        <v>29</v>
      </c>
      <c r="I465" s="5" t="s">
        <v>30</v>
      </c>
      <c r="J465" s="5">
        <v>1388469600</v>
      </c>
      <c r="K465" s="5">
        <v>1388815200</v>
      </c>
      <c r="L465" s="5" t="b">
        <v>0</v>
      </c>
      <c r="M465" s="5" t="b">
        <v>0</v>
      </c>
      <c r="N465" s="5" t="s">
        <v>79</v>
      </c>
      <c r="O465" s="8">
        <f t="shared" si="257"/>
        <v>1.0816455696202532</v>
      </c>
      <c r="P465" s="9">
        <f t="shared" si="259"/>
        <v>69.009501187648453</v>
      </c>
      <c r="Q465" s="5" t="str" cm="1">
        <f t="array" ref="Q465:R465">_xlfn.TEXTSPLIT(N465,"/")</f>
        <v>film &amp; video</v>
      </c>
      <c r="R465" t="str">
        <v>animation</v>
      </c>
      <c r="S465" s="10">
        <f t="shared" ref="S465:T465" si="467">(((J465/60)/60)/24)+DATE(1970,1,1)</f>
        <v>41639.25</v>
      </c>
      <c r="T465" s="10">
        <f t="shared" si="467"/>
        <v>41643.25</v>
      </c>
    </row>
    <row r="466" spans="1:20" ht="15.75" customHeight="1" x14ac:dyDescent="0.25">
      <c r="A466" s="5">
        <v>464</v>
      </c>
      <c r="B466" s="6" t="s">
        <v>984</v>
      </c>
      <c r="C466" s="7" t="s">
        <v>985</v>
      </c>
      <c r="D466" s="5">
        <v>71200</v>
      </c>
      <c r="E466" s="5">
        <v>95020</v>
      </c>
      <c r="F466" s="5" t="s">
        <v>28</v>
      </c>
      <c r="G466" s="5">
        <v>2436</v>
      </c>
      <c r="H466" s="5" t="s">
        <v>29</v>
      </c>
      <c r="I466" s="5" t="s">
        <v>30</v>
      </c>
      <c r="J466" s="5">
        <v>1518328800</v>
      </c>
      <c r="K466" s="5">
        <v>1519538400</v>
      </c>
      <c r="L466" s="5" t="b">
        <v>0</v>
      </c>
      <c r="M466" s="5" t="b">
        <v>0</v>
      </c>
      <c r="N466" s="5" t="s">
        <v>41</v>
      </c>
      <c r="O466" s="8">
        <f t="shared" si="257"/>
        <v>1.3345505617977529</v>
      </c>
      <c r="P466" s="9">
        <f t="shared" si="259"/>
        <v>39.006568144499177</v>
      </c>
      <c r="Q466" s="5" t="str" cm="1">
        <f t="array" ref="Q466:R466">_xlfn.TEXTSPLIT(N466,"/")</f>
        <v>theater</v>
      </c>
      <c r="R466" t="str">
        <v>plays</v>
      </c>
      <c r="S466" s="10">
        <f t="shared" ref="S466:T466" si="468">(((J466/60)/60)/24)+DATE(1970,1,1)</f>
        <v>43142.25</v>
      </c>
      <c r="T466" s="10">
        <f t="shared" si="468"/>
        <v>43156.25</v>
      </c>
    </row>
    <row r="467" spans="1:20" ht="15.75" customHeight="1" x14ac:dyDescent="0.25">
      <c r="A467" s="5">
        <v>465</v>
      </c>
      <c r="B467" s="6" t="s">
        <v>986</v>
      </c>
      <c r="C467" s="7" t="s">
        <v>987</v>
      </c>
      <c r="D467" s="5">
        <v>4700</v>
      </c>
      <c r="E467" s="5">
        <v>8829</v>
      </c>
      <c r="F467" s="5" t="s">
        <v>28</v>
      </c>
      <c r="G467" s="5">
        <v>80</v>
      </c>
      <c r="H467" s="5" t="s">
        <v>29</v>
      </c>
      <c r="I467" s="5" t="s">
        <v>30</v>
      </c>
      <c r="J467" s="5">
        <v>1517032800</v>
      </c>
      <c r="K467" s="5">
        <v>1517810400</v>
      </c>
      <c r="L467" s="5" t="b">
        <v>0</v>
      </c>
      <c r="M467" s="5" t="b">
        <v>0</v>
      </c>
      <c r="N467" s="5" t="s">
        <v>214</v>
      </c>
      <c r="O467" s="8">
        <f t="shared" si="257"/>
        <v>1.8785106382978722</v>
      </c>
      <c r="P467" s="9">
        <f t="shared" si="259"/>
        <v>110.3625</v>
      </c>
      <c r="Q467" s="5" t="str" cm="1">
        <f t="array" ref="Q467:R467">_xlfn.TEXTSPLIT(N467,"/")</f>
        <v>publishing</v>
      </c>
      <c r="R467" t="str">
        <v>translations</v>
      </c>
      <c r="S467" s="10">
        <f t="shared" ref="S467:T467" si="469">(((J467/60)/60)/24)+DATE(1970,1,1)</f>
        <v>43127.25</v>
      </c>
      <c r="T467" s="10">
        <f t="shared" si="469"/>
        <v>43136.25</v>
      </c>
    </row>
    <row r="468" spans="1:20" ht="15.75" customHeight="1" x14ac:dyDescent="0.25">
      <c r="A468" s="5">
        <v>466</v>
      </c>
      <c r="B468" s="6" t="s">
        <v>988</v>
      </c>
      <c r="C468" s="7" t="s">
        <v>989</v>
      </c>
      <c r="D468" s="5">
        <v>1200</v>
      </c>
      <c r="E468" s="5">
        <v>3984</v>
      </c>
      <c r="F468" s="5" t="s">
        <v>28</v>
      </c>
      <c r="G468" s="5">
        <v>42</v>
      </c>
      <c r="H468" s="5" t="s">
        <v>29</v>
      </c>
      <c r="I468" s="5" t="s">
        <v>30</v>
      </c>
      <c r="J468" s="5">
        <v>1368594000</v>
      </c>
      <c r="K468" s="5">
        <v>1370581200</v>
      </c>
      <c r="L468" s="5" t="b">
        <v>0</v>
      </c>
      <c r="M468" s="5" t="b">
        <v>1</v>
      </c>
      <c r="N468" s="5" t="s">
        <v>73</v>
      </c>
      <c r="O468" s="8">
        <f t="shared" si="257"/>
        <v>3.32</v>
      </c>
      <c r="P468" s="9">
        <f t="shared" si="259"/>
        <v>94.857142857142861</v>
      </c>
      <c r="Q468" s="5" t="str" cm="1">
        <f t="array" ref="Q468:R468">_xlfn.TEXTSPLIT(N468,"/")</f>
        <v>technology</v>
      </c>
      <c r="R468" t="str">
        <v>wearables</v>
      </c>
      <c r="S468" s="10">
        <f t="shared" ref="S468:T468" si="470">(((J468/60)/60)/24)+DATE(1970,1,1)</f>
        <v>41409.208333333336</v>
      </c>
      <c r="T468" s="10">
        <f t="shared" si="470"/>
        <v>41432.208333333336</v>
      </c>
    </row>
    <row r="469" spans="1:20" ht="15.75" customHeight="1" x14ac:dyDescent="0.25">
      <c r="A469" s="5">
        <v>467</v>
      </c>
      <c r="B469" s="6" t="s">
        <v>990</v>
      </c>
      <c r="C469" s="7" t="s">
        <v>991</v>
      </c>
      <c r="D469" s="5">
        <v>1400</v>
      </c>
      <c r="E469" s="5">
        <v>8053</v>
      </c>
      <c r="F469" s="5" t="s">
        <v>28</v>
      </c>
      <c r="G469" s="5">
        <v>139</v>
      </c>
      <c r="H469" s="5" t="s">
        <v>23</v>
      </c>
      <c r="I469" s="5" t="s">
        <v>24</v>
      </c>
      <c r="J469" s="5">
        <v>1448258400</v>
      </c>
      <c r="K469" s="5">
        <v>1448863200</v>
      </c>
      <c r="L469" s="5" t="b">
        <v>0</v>
      </c>
      <c r="M469" s="5" t="b">
        <v>1</v>
      </c>
      <c r="N469" s="5" t="s">
        <v>36</v>
      </c>
      <c r="O469" s="8">
        <f t="shared" si="257"/>
        <v>5.7521428571428572</v>
      </c>
      <c r="P469" s="9">
        <f t="shared" si="259"/>
        <v>57.935251798561154</v>
      </c>
      <c r="Q469" s="5" t="str" cm="1">
        <f t="array" ref="Q469:R469">_xlfn.TEXTSPLIT(N469,"/")</f>
        <v>technology</v>
      </c>
      <c r="R469" t="str">
        <v>web</v>
      </c>
      <c r="S469" s="10">
        <f t="shared" ref="S469:T469" si="471">(((J469/60)/60)/24)+DATE(1970,1,1)</f>
        <v>42331.25</v>
      </c>
      <c r="T469" s="10">
        <f t="shared" si="471"/>
        <v>42338.25</v>
      </c>
    </row>
    <row r="470" spans="1:20" ht="15.75" customHeight="1" x14ac:dyDescent="0.25">
      <c r="A470" s="5">
        <v>468</v>
      </c>
      <c r="B470" s="6" t="s">
        <v>992</v>
      </c>
      <c r="C470" s="7" t="s">
        <v>993</v>
      </c>
      <c r="D470" s="5">
        <v>4000</v>
      </c>
      <c r="E470" s="5">
        <v>1620</v>
      </c>
      <c r="F470" s="5" t="s">
        <v>22</v>
      </c>
      <c r="G470" s="5">
        <v>16</v>
      </c>
      <c r="H470" s="5" t="s">
        <v>29</v>
      </c>
      <c r="I470" s="5" t="s">
        <v>30</v>
      </c>
      <c r="J470" s="5">
        <v>1555218000</v>
      </c>
      <c r="K470" s="5">
        <v>1556600400</v>
      </c>
      <c r="L470" s="5" t="b">
        <v>0</v>
      </c>
      <c r="M470" s="5" t="b">
        <v>0</v>
      </c>
      <c r="N470" s="5" t="s">
        <v>41</v>
      </c>
      <c r="O470" s="8">
        <f t="shared" si="257"/>
        <v>0.40500000000000003</v>
      </c>
      <c r="P470" s="9">
        <f t="shared" si="259"/>
        <v>101.25</v>
      </c>
      <c r="Q470" s="5" t="str" cm="1">
        <f t="array" ref="Q470:R470">_xlfn.TEXTSPLIT(N470,"/")</f>
        <v>theater</v>
      </c>
      <c r="R470" t="str">
        <v>plays</v>
      </c>
      <c r="S470" s="10">
        <f t="shared" ref="S470:T470" si="472">(((J470/60)/60)/24)+DATE(1970,1,1)</f>
        <v>43569.208333333328</v>
      </c>
      <c r="T470" s="10">
        <f t="shared" si="472"/>
        <v>43585.208333333328</v>
      </c>
    </row>
    <row r="471" spans="1:20" ht="15.75" customHeight="1" x14ac:dyDescent="0.25">
      <c r="A471" s="5">
        <v>469</v>
      </c>
      <c r="B471" s="6" t="s">
        <v>994</v>
      </c>
      <c r="C471" s="7" t="s">
        <v>995</v>
      </c>
      <c r="D471" s="5">
        <v>5600</v>
      </c>
      <c r="E471" s="5">
        <v>10328</v>
      </c>
      <c r="F471" s="5" t="s">
        <v>28</v>
      </c>
      <c r="G471" s="5">
        <v>159</v>
      </c>
      <c r="H471" s="5" t="s">
        <v>29</v>
      </c>
      <c r="I471" s="5" t="s">
        <v>30</v>
      </c>
      <c r="J471" s="5">
        <v>1431925200</v>
      </c>
      <c r="K471" s="5">
        <v>1432098000</v>
      </c>
      <c r="L471" s="5" t="b">
        <v>0</v>
      </c>
      <c r="M471" s="5" t="b">
        <v>0</v>
      </c>
      <c r="N471" s="5" t="s">
        <v>61</v>
      </c>
      <c r="O471" s="8">
        <f t="shared" si="257"/>
        <v>1.8442857142857143</v>
      </c>
      <c r="P471" s="9">
        <f t="shared" si="259"/>
        <v>64.95597484276729</v>
      </c>
      <c r="Q471" s="5" t="str" cm="1">
        <f t="array" ref="Q471:R471">_xlfn.TEXTSPLIT(N471,"/")</f>
        <v>film &amp; video</v>
      </c>
      <c r="R471" t="str">
        <v>drama</v>
      </c>
      <c r="S471" s="10">
        <f t="shared" ref="S471:T471" si="473">(((J471/60)/60)/24)+DATE(1970,1,1)</f>
        <v>42142.208333333328</v>
      </c>
      <c r="T471" s="10">
        <f t="shared" si="473"/>
        <v>42144.208333333328</v>
      </c>
    </row>
    <row r="472" spans="1:20" ht="15.75" customHeight="1" x14ac:dyDescent="0.25">
      <c r="A472" s="5">
        <v>470</v>
      </c>
      <c r="B472" s="6" t="s">
        <v>996</v>
      </c>
      <c r="C472" s="7" t="s">
        <v>997</v>
      </c>
      <c r="D472" s="5">
        <v>3600</v>
      </c>
      <c r="E472" s="5">
        <v>10289</v>
      </c>
      <c r="F472" s="5" t="s">
        <v>28</v>
      </c>
      <c r="G472" s="5">
        <v>381</v>
      </c>
      <c r="H472" s="5" t="s">
        <v>29</v>
      </c>
      <c r="I472" s="5" t="s">
        <v>30</v>
      </c>
      <c r="J472" s="5">
        <v>1481522400</v>
      </c>
      <c r="K472" s="5">
        <v>1482127200</v>
      </c>
      <c r="L472" s="5" t="b">
        <v>0</v>
      </c>
      <c r="M472" s="5" t="b">
        <v>0</v>
      </c>
      <c r="N472" s="5" t="s">
        <v>73</v>
      </c>
      <c r="O472" s="8">
        <f t="shared" si="257"/>
        <v>2.8580555555555556</v>
      </c>
      <c r="P472" s="9">
        <f t="shared" si="259"/>
        <v>27.00524934383202</v>
      </c>
      <c r="Q472" s="5" t="str" cm="1">
        <f t="array" ref="Q472:R472">_xlfn.TEXTSPLIT(N472,"/")</f>
        <v>technology</v>
      </c>
      <c r="R472" t="str">
        <v>wearables</v>
      </c>
      <c r="S472" s="10">
        <f t="shared" ref="S472:T472" si="474">(((J472/60)/60)/24)+DATE(1970,1,1)</f>
        <v>42716.25</v>
      </c>
      <c r="T472" s="10">
        <f t="shared" si="474"/>
        <v>42723.25</v>
      </c>
    </row>
    <row r="473" spans="1:20" ht="15.75" customHeight="1" x14ac:dyDescent="0.25">
      <c r="A473" s="5">
        <v>471</v>
      </c>
      <c r="B473" s="6" t="s">
        <v>454</v>
      </c>
      <c r="C473" s="7" t="s">
        <v>998</v>
      </c>
      <c r="D473" s="5">
        <v>3100</v>
      </c>
      <c r="E473" s="5">
        <v>9889</v>
      </c>
      <c r="F473" s="5" t="s">
        <v>28</v>
      </c>
      <c r="G473" s="5">
        <v>194</v>
      </c>
      <c r="H473" s="5" t="s">
        <v>48</v>
      </c>
      <c r="I473" s="5" t="s">
        <v>49</v>
      </c>
      <c r="J473" s="5">
        <v>1335934800</v>
      </c>
      <c r="K473" s="5">
        <v>1335934800</v>
      </c>
      <c r="L473" s="5" t="b">
        <v>0</v>
      </c>
      <c r="M473" s="5" t="b">
        <v>1</v>
      </c>
      <c r="N473" s="5" t="s">
        <v>25</v>
      </c>
      <c r="O473" s="8">
        <f t="shared" si="257"/>
        <v>3.19</v>
      </c>
      <c r="P473" s="9">
        <f t="shared" si="259"/>
        <v>50.97422680412371</v>
      </c>
      <c r="Q473" s="5" t="str" cm="1">
        <f t="array" ref="Q473:R473">_xlfn.TEXTSPLIT(N473,"/")</f>
        <v>food</v>
      </c>
      <c r="R473" t="str">
        <v>food trucks</v>
      </c>
      <c r="S473" s="10">
        <f t="shared" ref="S473:T473" si="475">(((J473/60)/60)/24)+DATE(1970,1,1)</f>
        <v>41031.208333333336</v>
      </c>
      <c r="T473" s="10">
        <f t="shared" si="475"/>
        <v>41031.208333333336</v>
      </c>
    </row>
    <row r="474" spans="1:20" ht="15.75" customHeight="1" x14ac:dyDescent="0.25">
      <c r="A474" s="5">
        <v>472</v>
      </c>
      <c r="B474" s="6" t="s">
        <v>999</v>
      </c>
      <c r="C474" s="7" t="s">
        <v>1000</v>
      </c>
      <c r="D474" s="5">
        <v>153800</v>
      </c>
      <c r="E474" s="5">
        <v>60342</v>
      </c>
      <c r="F474" s="5" t="s">
        <v>22</v>
      </c>
      <c r="G474" s="5">
        <v>575</v>
      </c>
      <c r="H474" s="5" t="s">
        <v>29</v>
      </c>
      <c r="I474" s="5" t="s">
        <v>30</v>
      </c>
      <c r="J474" s="5">
        <v>1552280400</v>
      </c>
      <c r="K474" s="5">
        <v>1556946000</v>
      </c>
      <c r="L474" s="5" t="b">
        <v>0</v>
      </c>
      <c r="M474" s="5" t="b">
        <v>0</v>
      </c>
      <c r="N474" s="5" t="s">
        <v>31</v>
      </c>
      <c r="O474" s="8">
        <f t="shared" si="257"/>
        <v>0.39234070221066319</v>
      </c>
      <c r="P474" s="9">
        <f t="shared" si="259"/>
        <v>104.94260869565217</v>
      </c>
      <c r="Q474" s="5" t="str" cm="1">
        <f t="array" ref="Q474:R474">_xlfn.TEXTSPLIT(N474,"/")</f>
        <v>music</v>
      </c>
      <c r="R474" t="str">
        <v>rock</v>
      </c>
      <c r="S474" s="10">
        <f t="shared" ref="S474:T474" si="476">(((J474/60)/60)/24)+DATE(1970,1,1)</f>
        <v>43535.208333333328</v>
      </c>
      <c r="T474" s="10">
        <f t="shared" si="476"/>
        <v>43589.208333333328</v>
      </c>
    </row>
    <row r="475" spans="1:20" ht="15.75" customHeight="1" x14ac:dyDescent="0.25">
      <c r="A475" s="5">
        <v>473</v>
      </c>
      <c r="B475" s="6" t="s">
        <v>1001</v>
      </c>
      <c r="C475" s="7" t="s">
        <v>1002</v>
      </c>
      <c r="D475" s="5">
        <v>5000</v>
      </c>
      <c r="E475" s="5">
        <v>8907</v>
      </c>
      <c r="F475" s="5" t="s">
        <v>28</v>
      </c>
      <c r="G475" s="5">
        <v>106</v>
      </c>
      <c r="H475" s="5" t="s">
        <v>29</v>
      </c>
      <c r="I475" s="5" t="s">
        <v>30</v>
      </c>
      <c r="J475" s="5">
        <v>1529989200</v>
      </c>
      <c r="K475" s="5">
        <v>1530075600</v>
      </c>
      <c r="L475" s="5" t="b">
        <v>0</v>
      </c>
      <c r="M475" s="5" t="b">
        <v>0</v>
      </c>
      <c r="N475" s="5" t="s">
        <v>58</v>
      </c>
      <c r="O475" s="8">
        <f t="shared" si="257"/>
        <v>1.7814000000000001</v>
      </c>
      <c r="P475" s="9">
        <f t="shared" si="259"/>
        <v>84.028301886792448</v>
      </c>
      <c r="Q475" s="5" t="str" cm="1">
        <f t="array" ref="Q475:R475">_xlfn.TEXTSPLIT(N475,"/")</f>
        <v>music</v>
      </c>
      <c r="R475" t="str">
        <v>electric music</v>
      </c>
      <c r="S475" s="10">
        <f t="shared" ref="S475:T475" si="477">(((J475/60)/60)/24)+DATE(1970,1,1)</f>
        <v>43277.208333333328</v>
      </c>
      <c r="T475" s="10">
        <f t="shared" si="477"/>
        <v>43278.208333333328</v>
      </c>
    </row>
    <row r="476" spans="1:20" ht="15.75" customHeight="1" x14ac:dyDescent="0.25">
      <c r="A476" s="5">
        <v>474</v>
      </c>
      <c r="B476" s="6" t="s">
        <v>1003</v>
      </c>
      <c r="C476" s="7" t="s">
        <v>1004</v>
      </c>
      <c r="D476" s="5">
        <v>4000</v>
      </c>
      <c r="E476" s="5">
        <v>14606</v>
      </c>
      <c r="F476" s="5" t="s">
        <v>28</v>
      </c>
      <c r="G476" s="5">
        <v>142</v>
      </c>
      <c r="H476" s="5" t="s">
        <v>29</v>
      </c>
      <c r="I476" s="5" t="s">
        <v>30</v>
      </c>
      <c r="J476" s="5">
        <v>1418709600</v>
      </c>
      <c r="K476" s="5">
        <v>1418796000</v>
      </c>
      <c r="L476" s="5" t="b">
        <v>0</v>
      </c>
      <c r="M476" s="5" t="b">
        <v>0</v>
      </c>
      <c r="N476" s="5" t="s">
        <v>277</v>
      </c>
      <c r="O476" s="8">
        <f t="shared" si="257"/>
        <v>3.6515</v>
      </c>
      <c r="P476" s="9">
        <f t="shared" si="259"/>
        <v>102.85915492957747</v>
      </c>
      <c r="Q476" s="5" t="str" cm="1">
        <f t="array" ref="Q476:R476">_xlfn.TEXTSPLIT(N476,"/")</f>
        <v>film &amp; video</v>
      </c>
      <c r="R476" t="str">
        <v>television</v>
      </c>
      <c r="S476" s="10">
        <f t="shared" ref="S476:T476" si="478">(((J476/60)/60)/24)+DATE(1970,1,1)</f>
        <v>41989.25</v>
      </c>
      <c r="T476" s="10">
        <f t="shared" si="478"/>
        <v>41990.25</v>
      </c>
    </row>
    <row r="477" spans="1:20" ht="15.75" customHeight="1" x14ac:dyDescent="0.25">
      <c r="A477" s="5">
        <v>475</v>
      </c>
      <c r="B477" s="6" t="s">
        <v>1005</v>
      </c>
      <c r="C477" s="7" t="s">
        <v>1006</v>
      </c>
      <c r="D477" s="5">
        <v>7400</v>
      </c>
      <c r="E477" s="5">
        <v>8432</v>
      </c>
      <c r="F477" s="5" t="s">
        <v>28</v>
      </c>
      <c r="G477" s="5">
        <v>211</v>
      </c>
      <c r="H477" s="5" t="s">
        <v>29</v>
      </c>
      <c r="I477" s="5" t="s">
        <v>30</v>
      </c>
      <c r="J477" s="5">
        <v>1372136400</v>
      </c>
      <c r="K477" s="5">
        <v>1372482000</v>
      </c>
      <c r="L477" s="5" t="b">
        <v>0</v>
      </c>
      <c r="M477" s="5" t="b">
        <v>1</v>
      </c>
      <c r="N477" s="5" t="s">
        <v>214</v>
      </c>
      <c r="O477" s="8">
        <f t="shared" si="257"/>
        <v>1.1394594594594594</v>
      </c>
      <c r="P477" s="9">
        <f t="shared" si="259"/>
        <v>39.962085308056871</v>
      </c>
      <c r="Q477" s="5" t="str" cm="1">
        <f t="array" ref="Q477:R477">_xlfn.TEXTSPLIT(N477,"/")</f>
        <v>publishing</v>
      </c>
      <c r="R477" t="str">
        <v>translations</v>
      </c>
      <c r="S477" s="10">
        <f t="shared" ref="S477:T477" si="479">(((J477/60)/60)/24)+DATE(1970,1,1)</f>
        <v>41450.208333333336</v>
      </c>
      <c r="T477" s="10">
        <f t="shared" si="479"/>
        <v>41454.208333333336</v>
      </c>
    </row>
    <row r="478" spans="1:20" ht="15.75" customHeight="1" x14ac:dyDescent="0.25">
      <c r="A478" s="5">
        <v>476</v>
      </c>
      <c r="B478" s="6" t="s">
        <v>1007</v>
      </c>
      <c r="C478" s="7" t="s">
        <v>1008</v>
      </c>
      <c r="D478" s="5">
        <v>191500</v>
      </c>
      <c r="E478" s="5">
        <v>57122</v>
      </c>
      <c r="F478" s="5" t="s">
        <v>22</v>
      </c>
      <c r="G478" s="5">
        <v>1120</v>
      </c>
      <c r="H478" s="5" t="s">
        <v>29</v>
      </c>
      <c r="I478" s="5" t="s">
        <v>30</v>
      </c>
      <c r="J478" s="5">
        <v>1533877200</v>
      </c>
      <c r="K478" s="5">
        <v>1534395600</v>
      </c>
      <c r="L478" s="5" t="b">
        <v>0</v>
      </c>
      <c r="M478" s="5" t="b">
        <v>0</v>
      </c>
      <c r="N478" s="5" t="s">
        <v>127</v>
      </c>
      <c r="O478" s="8">
        <f t="shared" si="257"/>
        <v>0.29828720626631855</v>
      </c>
      <c r="P478" s="9">
        <f t="shared" si="259"/>
        <v>51.001785714285717</v>
      </c>
      <c r="Q478" s="5" t="str" cm="1">
        <f t="array" ref="Q478:R478">_xlfn.TEXTSPLIT(N478,"/")</f>
        <v>publishing</v>
      </c>
      <c r="R478" t="str">
        <v>fiction</v>
      </c>
      <c r="S478" s="10">
        <f t="shared" ref="S478:T478" si="480">(((J478/60)/60)/24)+DATE(1970,1,1)</f>
        <v>43322.208333333328</v>
      </c>
      <c r="T478" s="10">
        <f t="shared" si="480"/>
        <v>43328.208333333328</v>
      </c>
    </row>
    <row r="479" spans="1:20" ht="15.75" customHeight="1" x14ac:dyDescent="0.25">
      <c r="A479" s="5">
        <v>477</v>
      </c>
      <c r="B479" s="6" t="s">
        <v>1009</v>
      </c>
      <c r="C479" s="7" t="s">
        <v>1010</v>
      </c>
      <c r="D479" s="5">
        <v>8500</v>
      </c>
      <c r="E479" s="5">
        <v>4613</v>
      </c>
      <c r="F479" s="5" t="s">
        <v>22</v>
      </c>
      <c r="G479" s="5">
        <v>113</v>
      </c>
      <c r="H479" s="5" t="s">
        <v>29</v>
      </c>
      <c r="I479" s="5" t="s">
        <v>30</v>
      </c>
      <c r="J479" s="5">
        <v>1309064400</v>
      </c>
      <c r="K479" s="5">
        <v>1311397200</v>
      </c>
      <c r="L479" s="5" t="b">
        <v>0</v>
      </c>
      <c r="M479" s="5" t="b">
        <v>0</v>
      </c>
      <c r="N479" s="5" t="s">
        <v>482</v>
      </c>
      <c r="O479" s="8">
        <f t="shared" si="257"/>
        <v>0.54270588235294115</v>
      </c>
      <c r="P479" s="9">
        <f t="shared" si="259"/>
        <v>40.823008849557525</v>
      </c>
      <c r="Q479" s="5" t="str" cm="1">
        <f t="array" ref="Q479:R479">_xlfn.TEXTSPLIT(N479,"/")</f>
        <v>film &amp; video</v>
      </c>
      <c r="R479" t="str">
        <v>science fiction</v>
      </c>
      <c r="S479" s="10">
        <f t="shared" ref="S479:T479" si="481">(((J479/60)/60)/24)+DATE(1970,1,1)</f>
        <v>40720.208333333336</v>
      </c>
      <c r="T479" s="10">
        <f t="shared" si="481"/>
        <v>40747.208333333336</v>
      </c>
    </row>
    <row r="480" spans="1:20" ht="15.75" customHeight="1" x14ac:dyDescent="0.25">
      <c r="A480" s="5">
        <v>478</v>
      </c>
      <c r="B480" s="6" t="s">
        <v>1011</v>
      </c>
      <c r="C480" s="7" t="s">
        <v>1012</v>
      </c>
      <c r="D480" s="5">
        <v>68800</v>
      </c>
      <c r="E480" s="5">
        <v>162603</v>
      </c>
      <c r="F480" s="5" t="s">
        <v>28</v>
      </c>
      <c r="G480" s="5">
        <v>2756</v>
      </c>
      <c r="H480" s="5" t="s">
        <v>29</v>
      </c>
      <c r="I480" s="5" t="s">
        <v>30</v>
      </c>
      <c r="J480" s="5">
        <v>1425877200</v>
      </c>
      <c r="K480" s="5">
        <v>1426914000</v>
      </c>
      <c r="L480" s="5" t="b">
        <v>0</v>
      </c>
      <c r="M480" s="5" t="b">
        <v>0</v>
      </c>
      <c r="N480" s="5" t="s">
        <v>73</v>
      </c>
      <c r="O480" s="8">
        <f t="shared" si="257"/>
        <v>2.3634156976744185</v>
      </c>
      <c r="P480" s="9">
        <f t="shared" si="259"/>
        <v>58.999637155297535</v>
      </c>
      <c r="Q480" s="5" t="str" cm="1">
        <f t="array" ref="Q480:R480">_xlfn.TEXTSPLIT(N480,"/")</f>
        <v>technology</v>
      </c>
      <c r="R480" t="str">
        <v>wearables</v>
      </c>
      <c r="S480" s="10">
        <f t="shared" ref="S480:T480" si="482">(((J480/60)/60)/24)+DATE(1970,1,1)</f>
        <v>42072.208333333328</v>
      </c>
      <c r="T480" s="10">
        <f t="shared" si="482"/>
        <v>42084.208333333328</v>
      </c>
    </row>
    <row r="481" spans="1:20" ht="15.75" customHeight="1" x14ac:dyDescent="0.25">
      <c r="A481" s="5">
        <v>479</v>
      </c>
      <c r="B481" s="6" t="s">
        <v>1013</v>
      </c>
      <c r="C481" s="7" t="s">
        <v>1014</v>
      </c>
      <c r="D481" s="5">
        <v>2400</v>
      </c>
      <c r="E481" s="5">
        <v>12310</v>
      </c>
      <c r="F481" s="5" t="s">
        <v>28</v>
      </c>
      <c r="G481" s="5">
        <v>173</v>
      </c>
      <c r="H481" s="5" t="s">
        <v>48</v>
      </c>
      <c r="I481" s="5" t="s">
        <v>49</v>
      </c>
      <c r="J481" s="5">
        <v>1501304400</v>
      </c>
      <c r="K481" s="5">
        <v>1501477200</v>
      </c>
      <c r="L481" s="5" t="b">
        <v>0</v>
      </c>
      <c r="M481" s="5" t="b">
        <v>0</v>
      </c>
      <c r="N481" s="5" t="s">
        <v>25</v>
      </c>
      <c r="O481" s="8">
        <f t="shared" si="257"/>
        <v>5.1291666666666664</v>
      </c>
      <c r="P481" s="9">
        <f t="shared" si="259"/>
        <v>71.156069364161851</v>
      </c>
      <c r="Q481" s="5" t="str" cm="1">
        <f t="array" ref="Q481:R481">_xlfn.TEXTSPLIT(N481,"/")</f>
        <v>food</v>
      </c>
      <c r="R481" t="str">
        <v>food trucks</v>
      </c>
      <c r="S481" s="10">
        <f t="shared" ref="S481:T481" si="483">(((J481/60)/60)/24)+DATE(1970,1,1)</f>
        <v>42945.208333333328</v>
      </c>
      <c r="T481" s="10">
        <f t="shared" si="483"/>
        <v>42947.208333333328</v>
      </c>
    </row>
    <row r="482" spans="1:20" ht="15.75" customHeight="1" x14ac:dyDescent="0.25">
      <c r="A482" s="5">
        <v>480</v>
      </c>
      <c r="B482" s="6" t="s">
        <v>1015</v>
      </c>
      <c r="C482" s="7" t="s">
        <v>1016</v>
      </c>
      <c r="D482" s="5">
        <v>8600</v>
      </c>
      <c r="E482" s="5">
        <v>8656</v>
      </c>
      <c r="F482" s="5" t="s">
        <v>28</v>
      </c>
      <c r="G482" s="5">
        <v>87</v>
      </c>
      <c r="H482" s="5" t="s">
        <v>29</v>
      </c>
      <c r="I482" s="5" t="s">
        <v>30</v>
      </c>
      <c r="J482" s="5">
        <v>1268287200</v>
      </c>
      <c r="K482" s="5">
        <v>1269061200</v>
      </c>
      <c r="L482" s="5" t="b">
        <v>0</v>
      </c>
      <c r="M482" s="5" t="b">
        <v>1</v>
      </c>
      <c r="N482" s="5" t="s">
        <v>130</v>
      </c>
      <c r="O482" s="8">
        <f t="shared" si="257"/>
        <v>1.0065116279069768</v>
      </c>
      <c r="P482" s="9">
        <f t="shared" si="259"/>
        <v>99.494252873563212</v>
      </c>
      <c r="Q482" s="5" t="str" cm="1">
        <f t="array" ref="Q482:R482">_xlfn.TEXTSPLIT(N482,"/")</f>
        <v>photography</v>
      </c>
      <c r="R482" t="str">
        <v>photography books</v>
      </c>
      <c r="S482" s="10">
        <f t="shared" ref="S482:T482" si="484">(((J482/60)/60)/24)+DATE(1970,1,1)</f>
        <v>40248.25</v>
      </c>
      <c r="T482" s="10">
        <f t="shared" si="484"/>
        <v>40257.208333333336</v>
      </c>
    </row>
    <row r="483" spans="1:20" ht="15.75" customHeight="1" x14ac:dyDescent="0.25">
      <c r="A483" s="5">
        <v>481</v>
      </c>
      <c r="B483" s="6" t="s">
        <v>1017</v>
      </c>
      <c r="C483" s="7" t="s">
        <v>1018</v>
      </c>
      <c r="D483" s="5">
        <v>196600</v>
      </c>
      <c r="E483" s="5">
        <v>159931</v>
      </c>
      <c r="F483" s="5" t="s">
        <v>22</v>
      </c>
      <c r="G483" s="5">
        <v>1538</v>
      </c>
      <c r="H483" s="5" t="s">
        <v>29</v>
      </c>
      <c r="I483" s="5" t="s">
        <v>30</v>
      </c>
      <c r="J483" s="5">
        <v>1412139600</v>
      </c>
      <c r="K483" s="5">
        <v>1415772000</v>
      </c>
      <c r="L483" s="5" t="b">
        <v>0</v>
      </c>
      <c r="M483" s="5" t="b">
        <v>1</v>
      </c>
      <c r="N483" s="5" t="s">
        <v>41</v>
      </c>
      <c r="O483" s="8">
        <f t="shared" si="257"/>
        <v>0.81348423194303154</v>
      </c>
      <c r="P483" s="9">
        <f t="shared" si="259"/>
        <v>103.98634590377114</v>
      </c>
      <c r="Q483" s="5" t="str" cm="1">
        <f t="array" ref="Q483:R483">_xlfn.TEXTSPLIT(N483,"/")</f>
        <v>theater</v>
      </c>
      <c r="R483" t="str">
        <v>plays</v>
      </c>
      <c r="S483" s="10">
        <f t="shared" ref="S483:T483" si="485">(((J483/60)/60)/24)+DATE(1970,1,1)</f>
        <v>41913.208333333336</v>
      </c>
      <c r="T483" s="10">
        <f t="shared" si="485"/>
        <v>41955.25</v>
      </c>
    </row>
    <row r="484" spans="1:20" ht="15.75" customHeight="1" x14ac:dyDescent="0.25">
      <c r="A484" s="5">
        <v>482</v>
      </c>
      <c r="B484" s="6" t="s">
        <v>1019</v>
      </c>
      <c r="C484" s="7" t="s">
        <v>1020</v>
      </c>
      <c r="D484" s="5">
        <v>4200</v>
      </c>
      <c r="E484" s="5">
        <v>689</v>
      </c>
      <c r="F484" s="5" t="s">
        <v>22</v>
      </c>
      <c r="G484" s="5">
        <v>9</v>
      </c>
      <c r="H484" s="5" t="s">
        <v>29</v>
      </c>
      <c r="I484" s="5" t="s">
        <v>30</v>
      </c>
      <c r="J484" s="5">
        <v>1330063200</v>
      </c>
      <c r="K484" s="5">
        <v>1331013600</v>
      </c>
      <c r="L484" s="5" t="b">
        <v>0</v>
      </c>
      <c r="M484" s="5" t="b">
        <v>1</v>
      </c>
      <c r="N484" s="5" t="s">
        <v>127</v>
      </c>
      <c r="O484" s="8">
        <f t="shared" si="257"/>
        <v>0.16404761904761905</v>
      </c>
      <c r="P484" s="9">
        <f t="shared" si="259"/>
        <v>76.555555555555557</v>
      </c>
      <c r="Q484" s="5" t="str" cm="1">
        <f t="array" ref="Q484:R484">_xlfn.TEXTSPLIT(N484,"/")</f>
        <v>publishing</v>
      </c>
      <c r="R484" t="str">
        <v>fiction</v>
      </c>
      <c r="S484" s="10">
        <f t="shared" ref="S484:T484" si="486">(((J484/60)/60)/24)+DATE(1970,1,1)</f>
        <v>40963.25</v>
      </c>
      <c r="T484" s="10">
        <f t="shared" si="486"/>
        <v>40974.25</v>
      </c>
    </row>
    <row r="485" spans="1:20" ht="15.75" customHeight="1" x14ac:dyDescent="0.25">
      <c r="A485" s="5">
        <v>483</v>
      </c>
      <c r="B485" s="6" t="s">
        <v>1021</v>
      </c>
      <c r="C485" s="7" t="s">
        <v>1022</v>
      </c>
      <c r="D485" s="5">
        <v>91400</v>
      </c>
      <c r="E485" s="5">
        <v>48236</v>
      </c>
      <c r="F485" s="5" t="s">
        <v>22</v>
      </c>
      <c r="G485" s="5">
        <v>554</v>
      </c>
      <c r="H485" s="5" t="s">
        <v>29</v>
      </c>
      <c r="I485" s="5" t="s">
        <v>30</v>
      </c>
      <c r="J485" s="5">
        <v>1576130400</v>
      </c>
      <c r="K485" s="5">
        <v>1576735200</v>
      </c>
      <c r="L485" s="5" t="b">
        <v>0</v>
      </c>
      <c r="M485" s="5" t="b">
        <v>0</v>
      </c>
      <c r="N485" s="5" t="s">
        <v>41</v>
      </c>
      <c r="O485" s="8">
        <f t="shared" si="257"/>
        <v>0.52774617067833696</v>
      </c>
      <c r="P485" s="9">
        <f t="shared" si="259"/>
        <v>87.068592057761734</v>
      </c>
      <c r="Q485" s="5" t="str" cm="1">
        <f t="array" ref="Q485:R485">_xlfn.TEXTSPLIT(N485,"/")</f>
        <v>theater</v>
      </c>
      <c r="R485" t="str">
        <v>plays</v>
      </c>
      <c r="S485" s="10">
        <f t="shared" ref="S485:T485" si="487">(((J485/60)/60)/24)+DATE(1970,1,1)</f>
        <v>43811.25</v>
      </c>
      <c r="T485" s="10">
        <f t="shared" si="487"/>
        <v>43818.25</v>
      </c>
    </row>
    <row r="486" spans="1:20" ht="15.75" customHeight="1" x14ac:dyDescent="0.25">
      <c r="A486" s="5">
        <v>484</v>
      </c>
      <c r="B486" s="6" t="s">
        <v>1023</v>
      </c>
      <c r="C486" s="7" t="s">
        <v>1024</v>
      </c>
      <c r="D486" s="5">
        <v>29600</v>
      </c>
      <c r="E486" s="5">
        <v>77021</v>
      </c>
      <c r="F486" s="5" t="s">
        <v>28</v>
      </c>
      <c r="G486" s="5">
        <v>1572</v>
      </c>
      <c r="H486" s="5" t="s">
        <v>48</v>
      </c>
      <c r="I486" s="5" t="s">
        <v>49</v>
      </c>
      <c r="J486" s="5">
        <v>1407128400</v>
      </c>
      <c r="K486" s="5">
        <v>1411362000</v>
      </c>
      <c r="L486" s="5" t="b">
        <v>0</v>
      </c>
      <c r="M486" s="5" t="b">
        <v>1</v>
      </c>
      <c r="N486" s="5" t="s">
        <v>25</v>
      </c>
      <c r="O486" s="8">
        <f t="shared" si="257"/>
        <v>2.6020608108108108</v>
      </c>
      <c r="P486" s="9">
        <f t="shared" si="259"/>
        <v>48.99554707379135</v>
      </c>
      <c r="Q486" s="5" t="str" cm="1">
        <f t="array" ref="Q486:R486">_xlfn.TEXTSPLIT(N486,"/")</f>
        <v>food</v>
      </c>
      <c r="R486" t="str">
        <v>food trucks</v>
      </c>
      <c r="S486" s="10">
        <f t="shared" ref="S486:T486" si="488">(((J486/60)/60)/24)+DATE(1970,1,1)</f>
        <v>41855.208333333336</v>
      </c>
      <c r="T486" s="10">
        <f t="shared" si="488"/>
        <v>41904.208333333336</v>
      </c>
    </row>
    <row r="487" spans="1:20" ht="15.75" customHeight="1" x14ac:dyDescent="0.25">
      <c r="A487" s="5">
        <v>485</v>
      </c>
      <c r="B487" s="6" t="s">
        <v>1025</v>
      </c>
      <c r="C487" s="7" t="s">
        <v>1026</v>
      </c>
      <c r="D487" s="5">
        <v>90600</v>
      </c>
      <c r="E487" s="5">
        <v>27844</v>
      </c>
      <c r="F487" s="5" t="s">
        <v>22</v>
      </c>
      <c r="G487" s="5">
        <v>648</v>
      </c>
      <c r="H487" s="5" t="s">
        <v>48</v>
      </c>
      <c r="I487" s="5" t="s">
        <v>49</v>
      </c>
      <c r="J487" s="5">
        <v>1560142800</v>
      </c>
      <c r="K487" s="5">
        <v>1563685200</v>
      </c>
      <c r="L487" s="5" t="b">
        <v>0</v>
      </c>
      <c r="M487" s="5" t="b">
        <v>0</v>
      </c>
      <c r="N487" s="5" t="s">
        <v>41</v>
      </c>
      <c r="O487" s="8">
        <f t="shared" si="257"/>
        <v>0.30732891832229581</v>
      </c>
      <c r="P487" s="9">
        <f t="shared" si="259"/>
        <v>42.969135802469133</v>
      </c>
      <c r="Q487" s="5" t="str" cm="1">
        <f t="array" ref="Q487:R487">_xlfn.TEXTSPLIT(N487,"/")</f>
        <v>theater</v>
      </c>
      <c r="R487" t="str">
        <v>plays</v>
      </c>
      <c r="S487" s="10">
        <f t="shared" ref="S487:T487" si="489">(((J487/60)/60)/24)+DATE(1970,1,1)</f>
        <v>43626.208333333328</v>
      </c>
      <c r="T487" s="10">
        <f t="shared" si="489"/>
        <v>43667.208333333328</v>
      </c>
    </row>
    <row r="488" spans="1:20" ht="15.75" customHeight="1" x14ac:dyDescent="0.25">
      <c r="A488" s="5">
        <v>486</v>
      </c>
      <c r="B488" s="6" t="s">
        <v>1027</v>
      </c>
      <c r="C488" s="7" t="s">
        <v>1028</v>
      </c>
      <c r="D488" s="5">
        <v>5200</v>
      </c>
      <c r="E488" s="5">
        <v>702</v>
      </c>
      <c r="F488" s="5" t="s">
        <v>22</v>
      </c>
      <c r="G488" s="5">
        <v>21</v>
      </c>
      <c r="H488" s="5" t="s">
        <v>48</v>
      </c>
      <c r="I488" s="5" t="s">
        <v>49</v>
      </c>
      <c r="J488" s="5">
        <v>1520575200</v>
      </c>
      <c r="K488" s="5">
        <v>1521867600</v>
      </c>
      <c r="L488" s="5" t="b">
        <v>0</v>
      </c>
      <c r="M488" s="5" t="b">
        <v>1</v>
      </c>
      <c r="N488" s="5" t="s">
        <v>214</v>
      </c>
      <c r="O488" s="8">
        <f t="shared" si="257"/>
        <v>0.13500000000000001</v>
      </c>
      <c r="P488" s="9">
        <f t="shared" si="259"/>
        <v>33.428571428571431</v>
      </c>
      <c r="Q488" s="5" t="str" cm="1">
        <f t="array" ref="Q488:R488">_xlfn.TEXTSPLIT(N488,"/")</f>
        <v>publishing</v>
      </c>
      <c r="R488" t="str">
        <v>translations</v>
      </c>
      <c r="S488" s="10">
        <f t="shared" ref="S488:T488" si="490">(((J488/60)/60)/24)+DATE(1970,1,1)</f>
        <v>43168.25</v>
      </c>
      <c r="T488" s="10">
        <f t="shared" si="490"/>
        <v>43183.208333333328</v>
      </c>
    </row>
    <row r="489" spans="1:20" ht="15.75" customHeight="1" x14ac:dyDescent="0.25">
      <c r="A489" s="5">
        <v>487</v>
      </c>
      <c r="B489" s="6" t="s">
        <v>1029</v>
      </c>
      <c r="C489" s="7" t="s">
        <v>1030</v>
      </c>
      <c r="D489" s="5">
        <v>110300</v>
      </c>
      <c r="E489" s="5">
        <v>197024</v>
      </c>
      <c r="F489" s="5" t="s">
        <v>28</v>
      </c>
      <c r="G489" s="5">
        <v>2346</v>
      </c>
      <c r="H489" s="5" t="s">
        <v>29</v>
      </c>
      <c r="I489" s="5" t="s">
        <v>30</v>
      </c>
      <c r="J489" s="5">
        <v>1492664400</v>
      </c>
      <c r="K489" s="5">
        <v>1495515600</v>
      </c>
      <c r="L489" s="5" t="b">
        <v>0</v>
      </c>
      <c r="M489" s="5" t="b">
        <v>0</v>
      </c>
      <c r="N489" s="5" t="s">
        <v>41</v>
      </c>
      <c r="O489" s="8">
        <f t="shared" si="257"/>
        <v>1.7862556663644606</v>
      </c>
      <c r="P489" s="9">
        <f t="shared" si="259"/>
        <v>83.982949701619773</v>
      </c>
      <c r="Q489" s="5" t="str" cm="1">
        <f t="array" ref="Q489:R489">_xlfn.TEXTSPLIT(N489,"/")</f>
        <v>theater</v>
      </c>
      <c r="R489" t="str">
        <v>plays</v>
      </c>
      <c r="S489" s="10">
        <f t="shared" ref="S489:T489" si="491">(((J489/60)/60)/24)+DATE(1970,1,1)</f>
        <v>42845.208333333328</v>
      </c>
      <c r="T489" s="10">
        <f t="shared" si="491"/>
        <v>42878.208333333328</v>
      </c>
    </row>
    <row r="490" spans="1:20" ht="15.75" customHeight="1" x14ac:dyDescent="0.25">
      <c r="A490" s="5">
        <v>488</v>
      </c>
      <c r="B490" s="6" t="s">
        <v>1031</v>
      </c>
      <c r="C490" s="7" t="s">
        <v>1032</v>
      </c>
      <c r="D490" s="5">
        <v>5300</v>
      </c>
      <c r="E490" s="5">
        <v>11663</v>
      </c>
      <c r="F490" s="5" t="s">
        <v>28</v>
      </c>
      <c r="G490" s="5">
        <v>115</v>
      </c>
      <c r="H490" s="5" t="s">
        <v>29</v>
      </c>
      <c r="I490" s="5" t="s">
        <v>30</v>
      </c>
      <c r="J490" s="5">
        <v>1454479200</v>
      </c>
      <c r="K490" s="5">
        <v>1455948000</v>
      </c>
      <c r="L490" s="5" t="b">
        <v>0</v>
      </c>
      <c r="M490" s="5" t="b">
        <v>0</v>
      </c>
      <c r="N490" s="5" t="s">
        <v>41</v>
      </c>
      <c r="O490" s="8">
        <f t="shared" si="257"/>
        <v>2.2005660377358489</v>
      </c>
      <c r="P490" s="9">
        <f t="shared" si="259"/>
        <v>101.41739130434783</v>
      </c>
      <c r="Q490" s="5" t="str" cm="1">
        <f t="array" ref="Q490:R490">_xlfn.TEXTSPLIT(N490,"/")</f>
        <v>theater</v>
      </c>
      <c r="R490" t="str">
        <v>plays</v>
      </c>
      <c r="S490" s="10">
        <f t="shared" ref="S490:T490" si="492">(((J490/60)/60)/24)+DATE(1970,1,1)</f>
        <v>42403.25</v>
      </c>
      <c r="T490" s="10">
        <f t="shared" si="492"/>
        <v>42420.25</v>
      </c>
    </row>
    <row r="491" spans="1:20" ht="15.75" customHeight="1" x14ac:dyDescent="0.25">
      <c r="A491" s="5">
        <v>489</v>
      </c>
      <c r="B491" s="6" t="s">
        <v>1033</v>
      </c>
      <c r="C491" s="7" t="s">
        <v>1034</v>
      </c>
      <c r="D491" s="5">
        <v>9200</v>
      </c>
      <c r="E491" s="5">
        <v>9339</v>
      </c>
      <c r="F491" s="5" t="s">
        <v>28</v>
      </c>
      <c r="G491" s="5">
        <v>85</v>
      </c>
      <c r="H491" s="5" t="s">
        <v>115</v>
      </c>
      <c r="I491" s="5" t="s">
        <v>116</v>
      </c>
      <c r="J491" s="5">
        <v>1281934800</v>
      </c>
      <c r="K491" s="5">
        <v>1282366800</v>
      </c>
      <c r="L491" s="5" t="b">
        <v>0</v>
      </c>
      <c r="M491" s="5" t="b">
        <v>0</v>
      </c>
      <c r="N491" s="5" t="s">
        <v>73</v>
      </c>
      <c r="O491" s="8">
        <f t="shared" si="257"/>
        <v>1.015108695652174</v>
      </c>
      <c r="P491" s="9">
        <f t="shared" si="259"/>
        <v>109.87058823529412</v>
      </c>
      <c r="Q491" s="5" t="str" cm="1">
        <f t="array" ref="Q491:R491">_xlfn.TEXTSPLIT(N491,"/")</f>
        <v>technology</v>
      </c>
      <c r="R491" t="str">
        <v>wearables</v>
      </c>
      <c r="S491" s="10">
        <f t="shared" ref="S491:T491" si="493">(((J491/60)/60)/24)+DATE(1970,1,1)</f>
        <v>40406.208333333336</v>
      </c>
      <c r="T491" s="10">
        <f t="shared" si="493"/>
        <v>40411.208333333336</v>
      </c>
    </row>
    <row r="492" spans="1:20" ht="15.75" customHeight="1" x14ac:dyDescent="0.25">
      <c r="A492" s="5">
        <v>490</v>
      </c>
      <c r="B492" s="6" t="s">
        <v>1035</v>
      </c>
      <c r="C492" s="7" t="s">
        <v>1036</v>
      </c>
      <c r="D492" s="5">
        <v>2400</v>
      </c>
      <c r="E492" s="5">
        <v>4596</v>
      </c>
      <c r="F492" s="5" t="s">
        <v>28</v>
      </c>
      <c r="G492" s="5">
        <v>144</v>
      </c>
      <c r="H492" s="5" t="s">
        <v>29</v>
      </c>
      <c r="I492" s="5" t="s">
        <v>30</v>
      </c>
      <c r="J492" s="5">
        <v>1573970400</v>
      </c>
      <c r="K492" s="5">
        <v>1574575200</v>
      </c>
      <c r="L492" s="5" t="b">
        <v>0</v>
      </c>
      <c r="M492" s="5" t="b">
        <v>0</v>
      </c>
      <c r="N492" s="5" t="s">
        <v>1037</v>
      </c>
      <c r="O492" s="8">
        <f t="shared" si="257"/>
        <v>1.915</v>
      </c>
      <c r="P492" s="9">
        <f t="shared" si="259"/>
        <v>31.916666666666668</v>
      </c>
      <c r="Q492" s="5" t="str" cm="1">
        <f t="array" ref="Q492:R492">_xlfn.TEXTSPLIT(N492,"/")</f>
        <v>journalism</v>
      </c>
      <c r="R492" t="str">
        <v>audio</v>
      </c>
      <c r="S492" s="10">
        <f t="shared" ref="S492:T492" si="494">(((J492/60)/60)/24)+DATE(1970,1,1)</f>
        <v>43786.25</v>
      </c>
      <c r="T492" s="10">
        <f t="shared" si="494"/>
        <v>43793.25</v>
      </c>
    </row>
    <row r="493" spans="1:20" ht="15.75" customHeight="1" x14ac:dyDescent="0.25">
      <c r="A493" s="5">
        <v>491</v>
      </c>
      <c r="B493" s="6" t="s">
        <v>1038</v>
      </c>
      <c r="C493" s="7" t="s">
        <v>1039</v>
      </c>
      <c r="D493" s="5">
        <v>56800</v>
      </c>
      <c r="E493" s="5">
        <v>173437</v>
      </c>
      <c r="F493" s="5" t="s">
        <v>28</v>
      </c>
      <c r="G493" s="5">
        <v>2443</v>
      </c>
      <c r="H493" s="5" t="s">
        <v>29</v>
      </c>
      <c r="I493" s="5" t="s">
        <v>30</v>
      </c>
      <c r="J493" s="5">
        <v>1372654800</v>
      </c>
      <c r="K493" s="5">
        <v>1374901200</v>
      </c>
      <c r="L493" s="5" t="b">
        <v>0</v>
      </c>
      <c r="M493" s="5" t="b">
        <v>1</v>
      </c>
      <c r="N493" s="5" t="s">
        <v>25</v>
      </c>
      <c r="O493" s="8">
        <f t="shared" si="257"/>
        <v>3.0534683098591549</v>
      </c>
      <c r="P493" s="9">
        <f t="shared" si="259"/>
        <v>70.993450675399103</v>
      </c>
      <c r="Q493" s="5" t="str" cm="1">
        <f t="array" ref="Q493:R493">_xlfn.TEXTSPLIT(N493,"/")</f>
        <v>food</v>
      </c>
      <c r="R493" t="str">
        <v>food trucks</v>
      </c>
      <c r="S493" s="10">
        <f t="shared" ref="S493:T493" si="495">(((J493/60)/60)/24)+DATE(1970,1,1)</f>
        <v>41456.208333333336</v>
      </c>
      <c r="T493" s="10">
        <f t="shared" si="495"/>
        <v>41482.208333333336</v>
      </c>
    </row>
    <row r="494" spans="1:20" ht="15.75" customHeight="1" x14ac:dyDescent="0.25">
      <c r="A494" s="5">
        <v>492</v>
      </c>
      <c r="B494" s="6" t="s">
        <v>1040</v>
      </c>
      <c r="C494" s="7" t="s">
        <v>1041</v>
      </c>
      <c r="D494" s="5">
        <v>191000</v>
      </c>
      <c r="E494" s="5">
        <v>45831</v>
      </c>
      <c r="F494" s="5" t="s">
        <v>82</v>
      </c>
      <c r="G494" s="5">
        <v>595</v>
      </c>
      <c r="H494" s="5" t="s">
        <v>29</v>
      </c>
      <c r="I494" s="5" t="s">
        <v>30</v>
      </c>
      <c r="J494" s="5">
        <v>1275886800</v>
      </c>
      <c r="K494" s="5">
        <v>1278910800</v>
      </c>
      <c r="L494" s="5" t="b">
        <v>1</v>
      </c>
      <c r="M494" s="5" t="b">
        <v>1</v>
      </c>
      <c r="N494" s="5" t="s">
        <v>108</v>
      </c>
      <c r="O494" s="8">
        <f t="shared" si="257"/>
        <v>0.23995287958115183</v>
      </c>
      <c r="P494" s="9">
        <f t="shared" si="259"/>
        <v>77.026890756302521</v>
      </c>
      <c r="Q494" s="5" t="str" cm="1">
        <f t="array" ref="Q494:R494">_xlfn.TEXTSPLIT(N494,"/")</f>
        <v>film &amp; video</v>
      </c>
      <c r="R494" t="str">
        <v>shorts</v>
      </c>
      <c r="S494" s="10">
        <f t="shared" ref="S494:T494" si="496">(((J494/60)/60)/24)+DATE(1970,1,1)</f>
        <v>40336.208333333336</v>
      </c>
      <c r="T494" s="10">
        <f t="shared" si="496"/>
        <v>40371.208333333336</v>
      </c>
    </row>
    <row r="495" spans="1:20" ht="15.75" customHeight="1" x14ac:dyDescent="0.25">
      <c r="A495" s="5">
        <v>493</v>
      </c>
      <c r="B495" s="6" t="s">
        <v>1042</v>
      </c>
      <c r="C495" s="7" t="s">
        <v>1043</v>
      </c>
      <c r="D495" s="5">
        <v>900</v>
      </c>
      <c r="E495" s="5">
        <v>6514</v>
      </c>
      <c r="F495" s="5" t="s">
        <v>28</v>
      </c>
      <c r="G495" s="5">
        <v>64</v>
      </c>
      <c r="H495" s="5" t="s">
        <v>29</v>
      </c>
      <c r="I495" s="5" t="s">
        <v>30</v>
      </c>
      <c r="J495" s="5">
        <v>1561784400</v>
      </c>
      <c r="K495" s="5">
        <v>1562907600</v>
      </c>
      <c r="L495" s="5" t="b">
        <v>0</v>
      </c>
      <c r="M495" s="5" t="b">
        <v>0</v>
      </c>
      <c r="N495" s="5" t="s">
        <v>130</v>
      </c>
      <c r="O495" s="8">
        <f t="shared" si="257"/>
        <v>7.2377777777777776</v>
      </c>
      <c r="P495" s="9">
        <f t="shared" si="259"/>
        <v>101.78125</v>
      </c>
      <c r="Q495" s="5" t="str" cm="1">
        <f t="array" ref="Q495:R495">_xlfn.TEXTSPLIT(N495,"/")</f>
        <v>photography</v>
      </c>
      <c r="R495" t="str">
        <v>photography books</v>
      </c>
      <c r="S495" s="10">
        <f t="shared" ref="S495:T495" si="497">(((J495/60)/60)/24)+DATE(1970,1,1)</f>
        <v>43645.208333333328</v>
      </c>
      <c r="T495" s="10">
        <f t="shared" si="497"/>
        <v>43658.208333333328</v>
      </c>
    </row>
    <row r="496" spans="1:20" ht="15.75" customHeight="1" x14ac:dyDescent="0.25">
      <c r="A496" s="5">
        <v>494</v>
      </c>
      <c r="B496" s="6" t="s">
        <v>1044</v>
      </c>
      <c r="C496" s="7" t="s">
        <v>1045</v>
      </c>
      <c r="D496" s="5">
        <v>2500</v>
      </c>
      <c r="E496" s="5">
        <v>13684</v>
      </c>
      <c r="F496" s="5" t="s">
        <v>28</v>
      </c>
      <c r="G496" s="5">
        <v>268</v>
      </c>
      <c r="H496" s="5" t="s">
        <v>29</v>
      </c>
      <c r="I496" s="5" t="s">
        <v>30</v>
      </c>
      <c r="J496" s="5">
        <v>1332392400</v>
      </c>
      <c r="K496" s="5">
        <v>1332478800</v>
      </c>
      <c r="L496" s="5" t="b">
        <v>0</v>
      </c>
      <c r="M496" s="5" t="b">
        <v>0</v>
      </c>
      <c r="N496" s="5" t="s">
        <v>73</v>
      </c>
      <c r="O496" s="8">
        <f t="shared" si="257"/>
        <v>5.4736000000000002</v>
      </c>
      <c r="P496" s="9">
        <f t="shared" si="259"/>
        <v>51.059701492537314</v>
      </c>
      <c r="Q496" s="5" t="str" cm="1">
        <f t="array" ref="Q496:R496">_xlfn.TEXTSPLIT(N496,"/")</f>
        <v>technology</v>
      </c>
      <c r="R496" t="str">
        <v>wearables</v>
      </c>
      <c r="S496" s="10">
        <f t="shared" ref="S496:T496" si="498">(((J496/60)/60)/24)+DATE(1970,1,1)</f>
        <v>40990.208333333336</v>
      </c>
      <c r="T496" s="10">
        <f t="shared" si="498"/>
        <v>40991.208333333336</v>
      </c>
    </row>
    <row r="497" spans="1:20" ht="15.75" customHeight="1" x14ac:dyDescent="0.25">
      <c r="A497" s="5">
        <v>495</v>
      </c>
      <c r="B497" s="6" t="s">
        <v>1046</v>
      </c>
      <c r="C497" s="7" t="s">
        <v>1047</v>
      </c>
      <c r="D497" s="5">
        <v>3200</v>
      </c>
      <c r="E497" s="5">
        <v>13264</v>
      </c>
      <c r="F497" s="5" t="s">
        <v>28</v>
      </c>
      <c r="G497" s="5">
        <v>195</v>
      </c>
      <c r="H497" s="5" t="s">
        <v>44</v>
      </c>
      <c r="I497" s="5" t="s">
        <v>45</v>
      </c>
      <c r="J497" s="5">
        <v>1402376400</v>
      </c>
      <c r="K497" s="5">
        <v>1402722000</v>
      </c>
      <c r="L497" s="5" t="b">
        <v>0</v>
      </c>
      <c r="M497" s="5" t="b">
        <v>0</v>
      </c>
      <c r="N497" s="5" t="s">
        <v>41</v>
      </c>
      <c r="O497" s="8">
        <f t="shared" si="257"/>
        <v>4.1449999999999996</v>
      </c>
      <c r="P497" s="9">
        <f t="shared" si="259"/>
        <v>68.02051282051282</v>
      </c>
      <c r="Q497" s="5" t="str" cm="1">
        <f t="array" ref="Q497:R497">_xlfn.TEXTSPLIT(N497,"/")</f>
        <v>theater</v>
      </c>
      <c r="R497" t="str">
        <v>plays</v>
      </c>
      <c r="S497" s="10">
        <f t="shared" ref="S497:T497" si="499">(((J497/60)/60)/24)+DATE(1970,1,1)</f>
        <v>41800.208333333336</v>
      </c>
      <c r="T497" s="10">
        <f t="shared" si="499"/>
        <v>41804.208333333336</v>
      </c>
    </row>
    <row r="498" spans="1:20" ht="15.75" customHeight="1" x14ac:dyDescent="0.25">
      <c r="A498" s="5">
        <v>496</v>
      </c>
      <c r="B498" s="6" t="s">
        <v>1048</v>
      </c>
      <c r="C498" s="7" t="s">
        <v>1049</v>
      </c>
      <c r="D498" s="5">
        <v>183800</v>
      </c>
      <c r="E498" s="5">
        <v>1667</v>
      </c>
      <c r="F498" s="5" t="s">
        <v>22</v>
      </c>
      <c r="G498" s="5">
        <v>54</v>
      </c>
      <c r="H498" s="5" t="s">
        <v>29</v>
      </c>
      <c r="I498" s="5" t="s">
        <v>30</v>
      </c>
      <c r="J498" s="5">
        <v>1495342800</v>
      </c>
      <c r="K498" s="5">
        <v>1496811600</v>
      </c>
      <c r="L498" s="5" t="b">
        <v>0</v>
      </c>
      <c r="M498" s="5" t="b">
        <v>0</v>
      </c>
      <c r="N498" s="5" t="s">
        <v>79</v>
      </c>
      <c r="O498" s="8">
        <f t="shared" si="257"/>
        <v>9.0696409140369975E-3</v>
      </c>
      <c r="P498" s="9">
        <f t="shared" si="259"/>
        <v>30.87037037037037</v>
      </c>
      <c r="Q498" s="5" t="str" cm="1">
        <f t="array" ref="Q498:R498">_xlfn.TEXTSPLIT(N498,"/")</f>
        <v>film &amp; video</v>
      </c>
      <c r="R498" t="str">
        <v>animation</v>
      </c>
      <c r="S498" s="10">
        <f t="shared" ref="S498:T498" si="500">(((J498/60)/60)/24)+DATE(1970,1,1)</f>
        <v>42876.208333333328</v>
      </c>
      <c r="T498" s="10">
        <f t="shared" si="500"/>
        <v>42893.208333333328</v>
      </c>
    </row>
    <row r="499" spans="1:20" ht="15.75" customHeight="1" x14ac:dyDescent="0.25">
      <c r="A499" s="5">
        <v>497</v>
      </c>
      <c r="B499" s="6" t="s">
        <v>1050</v>
      </c>
      <c r="C499" s="7" t="s">
        <v>1051</v>
      </c>
      <c r="D499" s="5">
        <v>9800</v>
      </c>
      <c r="E499" s="5">
        <v>3349</v>
      </c>
      <c r="F499" s="5" t="s">
        <v>22</v>
      </c>
      <c r="G499" s="5">
        <v>120</v>
      </c>
      <c r="H499" s="5" t="s">
        <v>29</v>
      </c>
      <c r="I499" s="5" t="s">
        <v>30</v>
      </c>
      <c r="J499" s="5">
        <v>1482213600</v>
      </c>
      <c r="K499" s="5">
        <v>1482213600</v>
      </c>
      <c r="L499" s="5" t="b">
        <v>0</v>
      </c>
      <c r="M499" s="5" t="b">
        <v>1</v>
      </c>
      <c r="N499" s="5" t="s">
        <v>73</v>
      </c>
      <c r="O499" s="8">
        <f t="shared" si="257"/>
        <v>0.34173469387755101</v>
      </c>
      <c r="P499" s="9">
        <f t="shared" si="259"/>
        <v>27.908333333333335</v>
      </c>
      <c r="Q499" s="5" t="str" cm="1">
        <f t="array" ref="Q499:R499">_xlfn.TEXTSPLIT(N499,"/")</f>
        <v>technology</v>
      </c>
      <c r="R499" t="str">
        <v>wearables</v>
      </c>
      <c r="S499" s="10">
        <f t="shared" ref="S499:T499" si="501">(((J499/60)/60)/24)+DATE(1970,1,1)</f>
        <v>42724.25</v>
      </c>
      <c r="T499" s="10">
        <f t="shared" si="501"/>
        <v>42724.25</v>
      </c>
    </row>
    <row r="500" spans="1:20" ht="15.75" customHeight="1" x14ac:dyDescent="0.25">
      <c r="A500" s="5">
        <v>498</v>
      </c>
      <c r="B500" s="6" t="s">
        <v>1052</v>
      </c>
      <c r="C500" s="7" t="s">
        <v>1053</v>
      </c>
      <c r="D500" s="5">
        <v>193400</v>
      </c>
      <c r="E500" s="5">
        <v>46317</v>
      </c>
      <c r="F500" s="5" t="s">
        <v>22</v>
      </c>
      <c r="G500" s="5">
        <v>579</v>
      </c>
      <c r="H500" s="5" t="s">
        <v>44</v>
      </c>
      <c r="I500" s="5" t="s">
        <v>45</v>
      </c>
      <c r="J500" s="5">
        <v>1420092000</v>
      </c>
      <c r="K500" s="5">
        <v>1420264800</v>
      </c>
      <c r="L500" s="5" t="b">
        <v>0</v>
      </c>
      <c r="M500" s="5" t="b">
        <v>0</v>
      </c>
      <c r="N500" s="5" t="s">
        <v>36</v>
      </c>
      <c r="O500" s="8">
        <f t="shared" si="257"/>
        <v>0.239488107549121</v>
      </c>
      <c r="P500" s="9">
        <f t="shared" si="259"/>
        <v>79.994818652849744</v>
      </c>
      <c r="Q500" s="5" t="str" cm="1">
        <f t="array" ref="Q500:R500">_xlfn.TEXTSPLIT(N500,"/")</f>
        <v>technology</v>
      </c>
      <c r="R500" t="str">
        <v>web</v>
      </c>
      <c r="S500" s="10">
        <f t="shared" ref="S500:T500" si="502">(((J500/60)/60)/24)+DATE(1970,1,1)</f>
        <v>42005.25</v>
      </c>
      <c r="T500" s="10">
        <f t="shared" si="502"/>
        <v>42007.25</v>
      </c>
    </row>
    <row r="501" spans="1:20" ht="15.75" customHeight="1" x14ac:dyDescent="0.25">
      <c r="A501" s="5">
        <v>499</v>
      </c>
      <c r="B501" s="6" t="s">
        <v>1054</v>
      </c>
      <c r="C501" s="7" t="s">
        <v>1055</v>
      </c>
      <c r="D501" s="5">
        <v>163800</v>
      </c>
      <c r="E501" s="5">
        <v>78743</v>
      </c>
      <c r="F501" s="5" t="s">
        <v>22</v>
      </c>
      <c r="G501" s="5">
        <v>2072</v>
      </c>
      <c r="H501" s="5" t="s">
        <v>29</v>
      </c>
      <c r="I501" s="5" t="s">
        <v>30</v>
      </c>
      <c r="J501" s="5">
        <v>1458018000</v>
      </c>
      <c r="K501" s="5">
        <v>1458450000</v>
      </c>
      <c r="L501" s="5" t="b">
        <v>0</v>
      </c>
      <c r="M501" s="5" t="b">
        <v>1</v>
      </c>
      <c r="N501" s="5" t="s">
        <v>50</v>
      </c>
      <c r="O501" s="8">
        <f t="shared" si="257"/>
        <v>0.48072649572649573</v>
      </c>
      <c r="P501" s="9">
        <f t="shared" si="259"/>
        <v>38.003378378378379</v>
      </c>
      <c r="Q501" s="5" t="str" cm="1">
        <f t="array" ref="Q501:R501">_xlfn.TEXTSPLIT(N501,"/")</f>
        <v>film &amp; video</v>
      </c>
      <c r="R501" t="str">
        <v>documentary</v>
      </c>
      <c r="S501" s="10">
        <f t="shared" ref="S501:T501" si="503">(((J501/60)/60)/24)+DATE(1970,1,1)</f>
        <v>42444.208333333328</v>
      </c>
      <c r="T501" s="10">
        <f t="shared" si="503"/>
        <v>42449.208333333328</v>
      </c>
    </row>
    <row r="502" spans="1:20" ht="15.75" customHeight="1" x14ac:dyDescent="0.25">
      <c r="A502" s="5">
        <v>500</v>
      </c>
      <c r="B502" s="6" t="s">
        <v>1056</v>
      </c>
      <c r="C502" s="7" t="s">
        <v>1057</v>
      </c>
      <c r="D502" s="5">
        <v>100</v>
      </c>
      <c r="E502" s="5">
        <v>0</v>
      </c>
      <c r="F502" s="5" t="s">
        <v>22</v>
      </c>
      <c r="G502" s="5">
        <v>0</v>
      </c>
      <c r="H502" s="5" t="s">
        <v>29</v>
      </c>
      <c r="I502" s="5" t="s">
        <v>30</v>
      </c>
      <c r="J502" s="5">
        <v>1367384400</v>
      </c>
      <c r="K502" s="5">
        <v>1369803600</v>
      </c>
      <c r="L502" s="5" t="b">
        <v>0</v>
      </c>
      <c r="M502" s="5" t="b">
        <v>1</v>
      </c>
      <c r="N502" s="5" t="s">
        <v>41</v>
      </c>
      <c r="O502" s="8">
        <f t="shared" si="257"/>
        <v>0</v>
      </c>
      <c r="P502" s="9">
        <v>0</v>
      </c>
      <c r="Q502" s="5" t="str" cm="1">
        <f t="array" ref="Q502:R502">_xlfn.TEXTSPLIT(N502,"/")</f>
        <v>theater</v>
      </c>
      <c r="R502" t="str">
        <v>plays</v>
      </c>
      <c r="S502" s="10">
        <f t="shared" ref="S502:T502" si="504">(((J502/60)/60)/24)+DATE(1970,1,1)</f>
        <v>41395.208333333336</v>
      </c>
      <c r="T502" s="10">
        <f t="shared" si="504"/>
        <v>41423.208333333336</v>
      </c>
    </row>
    <row r="503" spans="1:20" ht="15.75" customHeight="1" x14ac:dyDescent="0.25">
      <c r="A503" s="5">
        <v>501</v>
      </c>
      <c r="B503" s="6" t="s">
        <v>1058</v>
      </c>
      <c r="C503" s="7" t="s">
        <v>1059</v>
      </c>
      <c r="D503" s="5">
        <v>153600</v>
      </c>
      <c r="E503" s="5">
        <v>107743</v>
      </c>
      <c r="F503" s="5" t="s">
        <v>22</v>
      </c>
      <c r="G503" s="5">
        <v>1796</v>
      </c>
      <c r="H503" s="5" t="s">
        <v>29</v>
      </c>
      <c r="I503" s="5" t="s">
        <v>30</v>
      </c>
      <c r="J503" s="5">
        <v>1363064400</v>
      </c>
      <c r="K503" s="5">
        <v>1363237200</v>
      </c>
      <c r="L503" s="5" t="b">
        <v>0</v>
      </c>
      <c r="M503" s="5" t="b">
        <v>0</v>
      </c>
      <c r="N503" s="5" t="s">
        <v>50</v>
      </c>
      <c r="O503" s="8">
        <f t="shared" si="257"/>
        <v>0.70145182291666663</v>
      </c>
      <c r="P503" s="9">
        <f t="shared" ref="P503:P757" si="505">E503/G503</f>
        <v>59.990534521158132</v>
      </c>
      <c r="Q503" s="5" t="str" cm="1">
        <f t="array" ref="Q503:R503">_xlfn.TEXTSPLIT(N503,"/")</f>
        <v>film &amp; video</v>
      </c>
      <c r="R503" t="str">
        <v>documentary</v>
      </c>
      <c r="S503" s="10">
        <f t="shared" ref="S503:T503" si="506">(((J503/60)/60)/24)+DATE(1970,1,1)</f>
        <v>41345.208333333336</v>
      </c>
      <c r="T503" s="10">
        <f t="shared" si="506"/>
        <v>41347.208333333336</v>
      </c>
    </row>
    <row r="504" spans="1:20" ht="15.75" customHeight="1" x14ac:dyDescent="0.25">
      <c r="A504" s="5">
        <v>502</v>
      </c>
      <c r="B504" s="6" t="s">
        <v>485</v>
      </c>
      <c r="C504" s="7" t="s">
        <v>1060</v>
      </c>
      <c r="D504" s="5">
        <v>1300</v>
      </c>
      <c r="E504" s="5">
        <v>6889</v>
      </c>
      <c r="F504" s="5" t="s">
        <v>28</v>
      </c>
      <c r="G504" s="5">
        <v>186</v>
      </c>
      <c r="H504" s="5" t="s">
        <v>34</v>
      </c>
      <c r="I504" s="5" t="s">
        <v>35</v>
      </c>
      <c r="J504" s="5">
        <v>1343365200</v>
      </c>
      <c r="K504" s="5">
        <v>1345870800</v>
      </c>
      <c r="L504" s="5" t="b">
        <v>0</v>
      </c>
      <c r="M504" s="5" t="b">
        <v>1</v>
      </c>
      <c r="N504" s="5" t="s">
        <v>97</v>
      </c>
      <c r="O504" s="8">
        <f t="shared" si="257"/>
        <v>5.2992307692307694</v>
      </c>
      <c r="P504" s="9">
        <f t="shared" si="505"/>
        <v>37.037634408602152</v>
      </c>
      <c r="Q504" s="5" t="str" cm="1">
        <f t="array" ref="Q504:R504">_xlfn.TEXTSPLIT(N504,"/")</f>
        <v>games</v>
      </c>
      <c r="R504" t="str">
        <v>video games</v>
      </c>
      <c r="S504" s="10">
        <f t="shared" ref="S504:T504" si="507">(((J504/60)/60)/24)+DATE(1970,1,1)</f>
        <v>41117.208333333336</v>
      </c>
      <c r="T504" s="10">
        <f t="shared" si="507"/>
        <v>41146.208333333336</v>
      </c>
    </row>
    <row r="505" spans="1:20" ht="15.75" customHeight="1" x14ac:dyDescent="0.25">
      <c r="A505" s="5">
        <v>503</v>
      </c>
      <c r="B505" s="6" t="s">
        <v>1061</v>
      </c>
      <c r="C505" s="7" t="s">
        <v>1062</v>
      </c>
      <c r="D505" s="5">
        <v>25500</v>
      </c>
      <c r="E505" s="5">
        <v>45983</v>
      </c>
      <c r="F505" s="5" t="s">
        <v>28</v>
      </c>
      <c r="G505" s="5">
        <v>460</v>
      </c>
      <c r="H505" s="5" t="s">
        <v>29</v>
      </c>
      <c r="I505" s="5" t="s">
        <v>30</v>
      </c>
      <c r="J505" s="5">
        <v>1435726800</v>
      </c>
      <c r="K505" s="5">
        <v>1437454800</v>
      </c>
      <c r="L505" s="5" t="b">
        <v>0</v>
      </c>
      <c r="M505" s="5" t="b">
        <v>0</v>
      </c>
      <c r="N505" s="5" t="s">
        <v>61</v>
      </c>
      <c r="O505" s="8">
        <f t="shared" si="257"/>
        <v>1.8032549019607844</v>
      </c>
      <c r="P505" s="9">
        <f t="shared" si="505"/>
        <v>99.963043478260872</v>
      </c>
      <c r="Q505" s="5" t="str" cm="1">
        <f t="array" ref="Q505:R505">_xlfn.TEXTSPLIT(N505,"/")</f>
        <v>film &amp; video</v>
      </c>
      <c r="R505" t="str">
        <v>drama</v>
      </c>
      <c r="S505" s="10">
        <f t="shared" ref="S505:T505" si="508">(((J505/60)/60)/24)+DATE(1970,1,1)</f>
        <v>42186.208333333328</v>
      </c>
      <c r="T505" s="10">
        <f t="shared" si="508"/>
        <v>42206.208333333328</v>
      </c>
    </row>
    <row r="506" spans="1:20" ht="15.75" customHeight="1" x14ac:dyDescent="0.25">
      <c r="A506" s="5">
        <v>504</v>
      </c>
      <c r="B506" s="6" t="s">
        <v>1063</v>
      </c>
      <c r="C506" s="7" t="s">
        <v>1064</v>
      </c>
      <c r="D506" s="5">
        <v>7500</v>
      </c>
      <c r="E506" s="5">
        <v>6924</v>
      </c>
      <c r="F506" s="5" t="s">
        <v>22</v>
      </c>
      <c r="G506" s="5">
        <v>62</v>
      </c>
      <c r="H506" s="5" t="s">
        <v>115</v>
      </c>
      <c r="I506" s="5" t="s">
        <v>116</v>
      </c>
      <c r="J506" s="5">
        <v>1431925200</v>
      </c>
      <c r="K506" s="5">
        <v>1432011600</v>
      </c>
      <c r="L506" s="5" t="b">
        <v>0</v>
      </c>
      <c r="M506" s="5" t="b">
        <v>0</v>
      </c>
      <c r="N506" s="5" t="s">
        <v>31</v>
      </c>
      <c r="O506" s="8">
        <f t="shared" si="257"/>
        <v>0.92320000000000002</v>
      </c>
      <c r="P506" s="9">
        <f t="shared" si="505"/>
        <v>111.6774193548387</v>
      </c>
      <c r="Q506" s="5" t="str" cm="1">
        <f t="array" ref="Q506:R506">_xlfn.TEXTSPLIT(N506,"/")</f>
        <v>music</v>
      </c>
      <c r="R506" t="str">
        <v>rock</v>
      </c>
      <c r="S506" s="10">
        <f t="shared" ref="S506:T506" si="509">(((J506/60)/60)/24)+DATE(1970,1,1)</f>
        <v>42142.208333333328</v>
      </c>
      <c r="T506" s="10">
        <f t="shared" si="509"/>
        <v>42143.208333333328</v>
      </c>
    </row>
    <row r="507" spans="1:20" ht="15.75" customHeight="1" x14ac:dyDescent="0.25">
      <c r="A507" s="5">
        <v>505</v>
      </c>
      <c r="B507" s="6" t="s">
        <v>1065</v>
      </c>
      <c r="C507" s="7" t="s">
        <v>1066</v>
      </c>
      <c r="D507" s="5">
        <v>89900</v>
      </c>
      <c r="E507" s="5">
        <v>12497</v>
      </c>
      <c r="F507" s="5" t="s">
        <v>22</v>
      </c>
      <c r="G507" s="5">
        <v>347</v>
      </c>
      <c r="H507" s="5" t="s">
        <v>29</v>
      </c>
      <c r="I507" s="5" t="s">
        <v>30</v>
      </c>
      <c r="J507" s="5">
        <v>1362722400</v>
      </c>
      <c r="K507" s="5">
        <v>1366347600</v>
      </c>
      <c r="L507" s="5" t="b">
        <v>0</v>
      </c>
      <c r="M507" s="5" t="b">
        <v>1</v>
      </c>
      <c r="N507" s="5" t="s">
        <v>141</v>
      </c>
      <c r="O507" s="8">
        <f t="shared" si="257"/>
        <v>0.13901001112347053</v>
      </c>
      <c r="P507" s="9">
        <f t="shared" si="505"/>
        <v>36.014409221902014</v>
      </c>
      <c r="Q507" s="5" t="str" cm="1">
        <f t="array" ref="Q507:R507">_xlfn.TEXTSPLIT(N507,"/")</f>
        <v>publishing</v>
      </c>
      <c r="R507" t="str">
        <v>radio &amp; podcasts</v>
      </c>
      <c r="S507" s="10">
        <f t="shared" ref="S507:T507" si="510">(((J507/60)/60)/24)+DATE(1970,1,1)</f>
        <v>41341.25</v>
      </c>
      <c r="T507" s="10">
        <f t="shared" si="510"/>
        <v>41383.208333333336</v>
      </c>
    </row>
    <row r="508" spans="1:20" ht="15.75" customHeight="1" x14ac:dyDescent="0.25">
      <c r="A508" s="5">
        <v>506</v>
      </c>
      <c r="B508" s="6" t="s">
        <v>1067</v>
      </c>
      <c r="C508" s="7" t="s">
        <v>1068</v>
      </c>
      <c r="D508" s="5">
        <v>18000</v>
      </c>
      <c r="E508" s="5">
        <v>166874</v>
      </c>
      <c r="F508" s="5" t="s">
        <v>28</v>
      </c>
      <c r="G508" s="5">
        <v>2528</v>
      </c>
      <c r="H508" s="5" t="s">
        <v>29</v>
      </c>
      <c r="I508" s="5" t="s">
        <v>30</v>
      </c>
      <c r="J508" s="5">
        <v>1511416800</v>
      </c>
      <c r="K508" s="5">
        <v>1512885600</v>
      </c>
      <c r="L508" s="5" t="b">
        <v>0</v>
      </c>
      <c r="M508" s="5" t="b">
        <v>1</v>
      </c>
      <c r="N508" s="5" t="s">
        <v>41</v>
      </c>
      <c r="O508" s="8">
        <f t="shared" si="257"/>
        <v>9.2707777777777771</v>
      </c>
      <c r="P508" s="9">
        <f t="shared" si="505"/>
        <v>66.010284810126578</v>
      </c>
      <c r="Q508" s="5" t="str" cm="1">
        <f t="array" ref="Q508:R508">_xlfn.TEXTSPLIT(N508,"/")</f>
        <v>theater</v>
      </c>
      <c r="R508" t="str">
        <v>plays</v>
      </c>
      <c r="S508" s="10">
        <f t="shared" ref="S508:T508" si="511">(((J508/60)/60)/24)+DATE(1970,1,1)</f>
        <v>43062.25</v>
      </c>
      <c r="T508" s="10">
        <f t="shared" si="511"/>
        <v>43079.25</v>
      </c>
    </row>
    <row r="509" spans="1:20" ht="15.75" customHeight="1" x14ac:dyDescent="0.25">
      <c r="A509" s="5">
        <v>507</v>
      </c>
      <c r="B509" s="6" t="s">
        <v>1069</v>
      </c>
      <c r="C509" s="7" t="s">
        <v>1070</v>
      </c>
      <c r="D509" s="5">
        <v>2100</v>
      </c>
      <c r="E509" s="5">
        <v>837</v>
      </c>
      <c r="F509" s="5" t="s">
        <v>22</v>
      </c>
      <c r="G509" s="5">
        <v>19</v>
      </c>
      <c r="H509" s="5" t="s">
        <v>29</v>
      </c>
      <c r="I509" s="5" t="s">
        <v>30</v>
      </c>
      <c r="J509" s="5">
        <v>1365483600</v>
      </c>
      <c r="K509" s="5">
        <v>1369717200</v>
      </c>
      <c r="L509" s="5" t="b">
        <v>0</v>
      </c>
      <c r="M509" s="5" t="b">
        <v>1</v>
      </c>
      <c r="N509" s="5" t="s">
        <v>36</v>
      </c>
      <c r="O509" s="8">
        <f t="shared" si="257"/>
        <v>0.39857142857142858</v>
      </c>
      <c r="P509" s="9">
        <f t="shared" si="505"/>
        <v>44.05263157894737</v>
      </c>
      <c r="Q509" s="5" t="str" cm="1">
        <f t="array" ref="Q509:R509">_xlfn.TEXTSPLIT(N509,"/")</f>
        <v>technology</v>
      </c>
      <c r="R509" t="str">
        <v>web</v>
      </c>
      <c r="S509" s="10">
        <f t="shared" ref="S509:T509" si="512">(((J509/60)/60)/24)+DATE(1970,1,1)</f>
        <v>41373.208333333336</v>
      </c>
      <c r="T509" s="10">
        <f t="shared" si="512"/>
        <v>41422.208333333336</v>
      </c>
    </row>
    <row r="510" spans="1:20" ht="15.75" customHeight="1" x14ac:dyDescent="0.25">
      <c r="A510" s="5">
        <v>508</v>
      </c>
      <c r="B510" s="6" t="s">
        <v>1071</v>
      </c>
      <c r="C510" s="7" t="s">
        <v>1072</v>
      </c>
      <c r="D510" s="5">
        <v>172700</v>
      </c>
      <c r="E510" s="5">
        <v>193820</v>
      </c>
      <c r="F510" s="5" t="s">
        <v>28</v>
      </c>
      <c r="G510" s="5">
        <v>3657</v>
      </c>
      <c r="H510" s="5" t="s">
        <v>29</v>
      </c>
      <c r="I510" s="5" t="s">
        <v>30</v>
      </c>
      <c r="J510" s="5">
        <v>1532840400</v>
      </c>
      <c r="K510" s="5">
        <v>1534654800</v>
      </c>
      <c r="L510" s="5" t="b">
        <v>0</v>
      </c>
      <c r="M510" s="5" t="b">
        <v>0</v>
      </c>
      <c r="N510" s="5" t="s">
        <v>41</v>
      </c>
      <c r="O510" s="8">
        <f t="shared" si="257"/>
        <v>1.1222929936305732</v>
      </c>
      <c r="P510" s="9">
        <f t="shared" si="505"/>
        <v>52.999726551818434</v>
      </c>
      <c r="Q510" s="5" t="str" cm="1">
        <f t="array" ref="Q510:R510">_xlfn.TEXTSPLIT(N510,"/")</f>
        <v>theater</v>
      </c>
      <c r="R510" t="str">
        <v>plays</v>
      </c>
      <c r="S510" s="10">
        <f t="shared" ref="S510:T510" si="513">(((J510/60)/60)/24)+DATE(1970,1,1)</f>
        <v>43310.208333333328</v>
      </c>
      <c r="T510" s="10">
        <f t="shared" si="513"/>
        <v>43331.208333333328</v>
      </c>
    </row>
    <row r="511" spans="1:20" ht="15.75" customHeight="1" x14ac:dyDescent="0.25">
      <c r="A511" s="5">
        <v>509</v>
      </c>
      <c r="B511" s="6" t="s">
        <v>406</v>
      </c>
      <c r="C511" s="7" t="s">
        <v>1073</v>
      </c>
      <c r="D511" s="5">
        <v>168500</v>
      </c>
      <c r="E511" s="5">
        <v>119510</v>
      </c>
      <c r="F511" s="5" t="s">
        <v>22</v>
      </c>
      <c r="G511" s="5">
        <v>1258</v>
      </c>
      <c r="H511" s="5" t="s">
        <v>29</v>
      </c>
      <c r="I511" s="5" t="s">
        <v>30</v>
      </c>
      <c r="J511" s="5">
        <v>1336194000</v>
      </c>
      <c r="K511" s="5">
        <v>1337058000</v>
      </c>
      <c r="L511" s="5" t="b">
        <v>0</v>
      </c>
      <c r="M511" s="5" t="b">
        <v>0</v>
      </c>
      <c r="N511" s="5" t="s">
        <v>41</v>
      </c>
      <c r="O511" s="8">
        <f t="shared" si="257"/>
        <v>0.70925816023738875</v>
      </c>
      <c r="P511" s="9">
        <f t="shared" si="505"/>
        <v>95</v>
      </c>
      <c r="Q511" s="5" t="str" cm="1">
        <f t="array" ref="Q511:R511">_xlfn.TEXTSPLIT(N511,"/")</f>
        <v>theater</v>
      </c>
      <c r="R511" t="str">
        <v>plays</v>
      </c>
      <c r="S511" s="10">
        <f t="shared" ref="S511:T511" si="514">(((J511/60)/60)/24)+DATE(1970,1,1)</f>
        <v>41034.208333333336</v>
      </c>
      <c r="T511" s="10">
        <f t="shared" si="514"/>
        <v>41044.208333333336</v>
      </c>
    </row>
    <row r="512" spans="1:20" ht="15.75" customHeight="1" x14ac:dyDescent="0.25">
      <c r="A512" s="5">
        <v>510</v>
      </c>
      <c r="B512" s="6" t="s">
        <v>1074</v>
      </c>
      <c r="C512" s="7" t="s">
        <v>1075</v>
      </c>
      <c r="D512" s="5">
        <v>7800</v>
      </c>
      <c r="E512" s="5">
        <v>9289</v>
      </c>
      <c r="F512" s="5" t="s">
        <v>28</v>
      </c>
      <c r="G512" s="5">
        <v>131</v>
      </c>
      <c r="H512" s="5" t="s">
        <v>34</v>
      </c>
      <c r="I512" s="5" t="s">
        <v>35</v>
      </c>
      <c r="J512" s="5">
        <v>1527742800</v>
      </c>
      <c r="K512" s="5">
        <v>1529816400</v>
      </c>
      <c r="L512" s="5" t="b">
        <v>0</v>
      </c>
      <c r="M512" s="5" t="b">
        <v>0</v>
      </c>
      <c r="N512" s="5" t="s">
        <v>61</v>
      </c>
      <c r="O512" s="8">
        <f t="shared" ref="O512:O766" si="515">E512/D512</f>
        <v>1.1908974358974358</v>
      </c>
      <c r="P512" s="9">
        <f t="shared" si="505"/>
        <v>70.908396946564892</v>
      </c>
      <c r="Q512" s="5" t="str" cm="1">
        <f t="array" ref="Q512:R512">_xlfn.TEXTSPLIT(N512,"/")</f>
        <v>film &amp; video</v>
      </c>
      <c r="R512" t="str">
        <v>drama</v>
      </c>
      <c r="S512" s="10">
        <f t="shared" ref="S512:T512" si="516">(((J512/60)/60)/24)+DATE(1970,1,1)</f>
        <v>43251.208333333328</v>
      </c>
      <c r="T512" s="10">
        <f t="shared" si="516"/>
        <v>43275.208333333328</v>
      </c>
    </row>
    <row r="513" spans="1:20" ht="15.75" customHeight="1" x14ac:dyDescent="0.25">
      <c r="A513" s="5">
        <v>511</v>
      </c>
      <c r="B513" s="6" t="s">
        <v>1076</v>
      </c>
      <c r="C513" s="7" t="s">
        <v>1077</v>
      </c>
      <c r="D513" s="5">
        <v>147800</v>
      </c>
      <c r="E513" s="5">
        <v>35498</v>
      </c>
      <c r="F513" s="5" t="s">
        <v>22</v>
      </c>
      <c r="G513" s="5">
        <v>362</v>
      </c>
      <c r="H513" s="5" t="s">
        <v>29</v>
      </c>
      <c r="I513" s="5" t="s">
        <v>30</v>
      </c>
      <c r="J513" s="5">
        <v>1564030800</v>
      </c>
      <c r="K513" s="5">
        <v>1564894800</v>
      </c>
      <c r="L513" s="5" t="b">
        <v>0</v>
      </c>
      <c r="M513" s="5" t="b">
        <v>0</v>
      </c>
      <c r="N513" s="5" t="s">
        <v>41</v>
      </c>
      <c r="O513" s="8">
        <f t="shared" si="515"/>
        <v>0.24017591339648173</v>
      </c>
      <c r="P513" s="9">
        <f t="shared" si="505"/>
        <v>98.060773480662988</v>
      </c>
      <c r="Q513" s="5" t="str" cm="1">
        <f t="array" ref="Q513:R513">_xlfn.TEXTSPLIT(N513,"/")</f>
        <v>theater</v>
      </c>
      <c r="R513" t="str">
        <v>plays</v>
      </c>
      <c r="S513" s="10">
        <f t="shared" ref="S513:T513" si="517">(((J513/60)/60)/24)+DATE(1970,1,1)</f>
        <v>43671.208333333328</v>
      </c>
      <c r="T513" s="10">
        <f t="shared" si="517"/>
        <v>43681.208333333328</v>
      </c>
    </row>
    <row r="514" spans="1:20" ht="15.75" customHeight="1" x14ac:dyDescent="0.25">
      <c r="A514" s="5">
        <v>512</v>
      </c>
      <c r="B514" s="6" t="s">
        <v>1078</v>
      </c>
      <c r="C514" s="7" t="s">
        <v>1079</v>
      </c>
      <c r="D514" s="5">
        <v>9100</v>
      </c>
      <c r="E514" s="5">
        <v>12678</v>
      </c>
      <c r="F514" s="5" t="s">
        <v>28</v>
      </c>
      <c r="G514" s="5">
        <v>239</v>
      </c>
      <c r="H514" s="5" t="s">
        <v>29</v>
      </c>
      <c r="I514" s="5" t="s">
        <v>30</v>
      </c>
      <c r="J514" s="5">
        <v>1404536400</v>
      </c>
      <c r="K514" s="5">
        <v>1404622800</v>
      </c>
      <c r="L514" s="5" t="b">
        <v>0</v>
      </c>
      <c r="M514" s="5" t="b">
        <v>1</v>
      </c>
      <c r="N514" s="5" t="s">
        <v>97</v>
      </c>
      <c r="O514" s="8">
        <f t="shared" si="515"/>
        <v>1.3931868131868133</v>
      </c>
      <c r="P514" s="9">
        <f t="shared" si="505"/>
        <v>53.046025104602514</v>
      </c>
      <c r="Q514" s="5" t="str" cm="1">
        <f t="array" ref="Q514:R514">_xlfn.TEXTSPLIT(N514,"/")</f>
        <v>games</v>
      </c>
      <c r="R514" t="str">
        <v>video games</v>
      </c>
      <c r="S514" s="10">
        <f t="shared" ref="S514:T514" si="518">(((J514/60)/60)/24)+DATE(1970,1,1)</f>
        <v>41825.208333333336</v>
      </c>
      <c r="T514" s="10">
        <f t="shared" si="518"/>
        <v>41826.208333333336</v>
      </c>
    </row>
    <row r="515" spans="1:20" ht="15.75" customHeight="1" x14ac:dyDescent="0.25">
      <c r="A515" s="5">
        <v>513</v>
      </c>
      <c r="B515" s="6" t="s">
        <v>1080</v>
      </c>
      <c r="C515" s="7" t="s">
        <v>1081</v>
      </c>
      <c r="D515" s="5">
        <v>8300</v>
      </c>
      <c r="E515" s="5">
        <v>3260</v>
      </c>
      <c r="F515" s="5" t="s">
        <v>82</v>
      </c>
      <c r="G515" s="5">
        <v>35</v>
      </c>
      <c r="H515" s="5" t="s">
        <v>29</v>
      </c>
      <c r="I515" s="5" t="s">
        <v>30</v>
      </c>
      <c r="J515" s="5">
        <v>1284008400</v>
      </c>
      <c r="K515" s="5">
        <v>1284181200</v>
      </c>
      <c r="L515" s="5" t="b">
        <v>0</v>
      </c>
      <c r="M515" s="5" t="b">
        <v>0</v>
      </c>
      <c r="N515" s="5" t="s">
        <v>277</v>
      </c>
      <c r="O515" s="8">
        <f t="shared" si="515"/>
        <v>0.39277108433734942</v>
      </c>
      <c r="P515" s="9">
        <f t="shared" si="505"/>
        <v>93.142857142857139</v>
      </c>
      <c r="Q515" s="5" t="str" cm="1">
        <f t="array" ref="Q515:R515">_xlfn.TEXTSPLIT(N515,"/")</f>
        <v>film &amp; video</v>
      </c>
      <c r="R515" t="str">
        <v>television</v>
      </c>
      <c r="S515" s="10">
        <f t="shared" ref="S515:T515" si="519">(((J515/60)/60)/24)+DATE(1970,1,1)</f>
        <v>40430.208333333336</v>
      </c>
      <c r="T515" s="10">
        <f t="shared" si="519"/>
        <v>40432.208333333336</v>
      </c>
    </row>
    <row r="516" spans="1:20" ht="15.75" customHeight="1" x14ac:dyDescent="0.25">
      <c r="A516" s="5">
        <v>514</v>
      </c>
      <c r="B516" s="6" t="s">
        <v>1082</v>
      </c>
      <c r="C516" s="7" t="s">
        <v>1083</v>
      </c>
      <c r="D516" s="5">
        <v>138700</v>
      </c>
      <c r="E516" s="5">
        <v>31123</v>
      </c>
      <c r="F516" s="5" t="s">
        <v>82</v>
      </c>
      <c r="G516" s="5">
        <v>528</v>
      </c>
      <c r="H516" s="5" t="s">
        <v>106</v>
      </c>
      <c r="I516" s="5" t="s">
        <v>107</v>
      </c>
      <c r="J516" s="5">
        <v>1386309600</v>
      </c>
      <c r="K516" s="5">
        <v>1386741600</v>
      </c>
      <c r="L516" s="5" t="b">
        <v>0</v>
      </c>
      <c r="M516" s="5" t="b">
        <v>1</v>
      </c>
      <c r="N516" s="5" t="s">
        <v>31</v>
      </c>
      <c r="O516" s="8">
        <f t="shared" si="515"/>
        <v>0.22439077144917088</v>
      </c>
      <c r="P516" s="9">
        <f t="shared" si="505"/>
        <v>58.945075757575758</v>
      </c>
      <c r="Q516" s="5" t="str" cm="1">
        <f t="array" ref="Q516:R516">_xlfn.TEXTSPLIT(N516,"/")</f>
        <v>music</v>
      </c>
      <c r="R516" t="str">
        <v>rock</v>
      </c>
      <c r="S516" s="10">
        <f t="shared" ref="S516:T516" si="520">(((J516/60)/60)/24)+DATE(1970,1,1)</f>
        <v>41614.25</v>
      </c>
      <c r="T516" s="10">
        <f t="shared" si="520"/>
        <v>41619.25</v>
      </c>
    </row>
    <row r="517" spans="1:20" ht="15.75" customHeight="1" x14ac:dyDescent="0.25">
      <c r="A517" s="5">
        <v>515</v>
      </c>
      <c r="B517" s="6" t="s">
        <v>1084</v>
      </c>
      <c r="C517" s="7" t="s">
        <v>1085</v>
      </c>
      <c r="D517" s="5">
        <v>8600</v>
      </c>
      <c r="E517" s="5">
        <v>4797</v>
      </c>
      <c r="F517" s="5" t="s">
        <v>22</v>
      </c>
      <c r="G517" s="5">
        <v>133</v>
      </c>
      <c r="H517" s="5" t="s">
        <v>23</v>
      </c>
      <c r="I517" s="5" t="s">
        <v>24</v>
      </c>
      <c r="J517" s="5">
        <v>1324620000</v>
      </c>
      <c r="K517" s="5">
        <v>1324792800</v>
      </c>
      <c r="L517" s="5" t="b">
        <v>0</v>
      </c>
      <c r="M517" s="5" t="b">
        <v>1</v>
      </c>
      <c r="N517" s="5" t="s">
        <v>41</v>
      </c>
      <c r="O517" s="8">
        <f t="shared" si="515"/>
        <v>0.55779069767441858</v>
      </c>
      <c r="P517" s="9">
        <f t="shared" si="505"/>
        <v>36.067669172932334</v>
      </c>
      <c r="Q517" s="5" t="str" cm="1">
        <f t="array" ref="Q517:R517">_xlfn.TEXTSPLIT(N517,"/")</f>
        <v>theater</v>
      </c>
      <c r="R517" t="str">
        <v>plays</v>
      </c>
      <c r="S517" s="10">
        <f t="shared" ref="S517:T517" si="521">(((J517/60)/60)/24)+DATE(1970,1,1)</f>
        <v>40900.25</v>
      </c>
      <c r="T517" s="10">
        <f t="shared" si="521"/>
        <v>40902.25</v>
      </c>
    </row>
    <row r="518" spans="1:20" ht="15.75" customHeight="1" x14ac:dyDescent="0.25">
      <c r="A518" s="5">
        <v>516</v>
      </c>
      <c r="B518" s="6" t="s">
        <v>1086</v>
      </c>
      <c r="C518" s="7" t="s">
        <v>1087</v>
      </c>
      <c r="D518" s="5">
        <v>125400</v>
      </c>
      <c r="E518" s="5">
        <v>53324</v>
      </c>
      <c r="F518" s="5" t="s">
        <v>22</v>
      </c>
      <c r="G518" s="5">
        <v>846</v>
      </c>
      <c r="H518" s="5" t="s">
        <v>29</v>
      </c>
      <c r="I518" s="5" t="s">
        <v>30</v>
      </c>
      <c r="J518" s="5">
        <v>1281070800</v>
      </c>
      <c r="K518" s="5">
        <v>1284354000</v>
      </c>
      <c r="L518" s="5" t="b">
        <v>0</v>
      </c>
      <c r="M518" s="5" t="b">
        <v>0</v>
      </c>
      <c r="N518" s="5" t="s">
        <v>76</v>
      </c>
      <c r="O518" s="8">
        <f t="shared" si="515"/>
        <v>0.42523125996810207</v>
      </c>
      <c r="P518" s="9">
        <f t="shared" si="505"/>
        <v>63.030732860520096</v>
      </c>
      <c r="Q518" s="5" t="str" cm="1">
        <f t="array" ref="Q518:R518">_xlfn.TEXTSPLIT(N518,"/")</f>
        <v>publishing</v>
      </c>
      <c r="R518" t="str">
        <v>nonfiction</v>
      </c>
      <c r="S518" s="10">
        <f t="shared" ref="S518:T518" si="522">(((J518/60)/60)/24)+DATE(1970,1,1)</f>
        <v>40396.208333333336</v>
      </c>
      <c r="T518" s="10">
        <f t="shared" si="522"/>
        <v>40434.208333333336</v>
      </c>
    </row>
    <row r="519" spans="1:20" ht="15.75" customHeight="1" x14ac:dyDescent="0.25">
      <c r="A519" s="5">
        <v>517</v>
      </c>
      <c r="B519" s="6" t="s">
        <v>1088</v>
      </c>
      <c r="C519" s="7" t="s">
        <v>1089</v>
      </c>
      <c r="D519" s="5">
        <v>5900</v>
      </c>
      <c r="E519" s="5">
        <v>6608</v>
      </c>
      <c r="F519" s="5" t="s">
        <v>28</v>
      </c>
      <c r="G519" s="5">
        <v>78</v>
      </c>
      <c r="H519" s="5" t="s">
        <v>29</v>
      </c>
      <c r="I519" s="5" t="s">
        <v>30</v>
      </c>
      <c r="J519" s="5">
        <v>1493960400</v>
      </c>
      <c r="K519" s="5">
        <v>1494392400</v>
      </c>
      <c r="L519" s="5" t="b">
        <v>0</v>
      </c>
      <c r="M519" s="5" t="b">
        <v>0</v>
      </c>
      <c r="N519" s="5" t="s">
        <v>25</v>
      </c>
      <c r="O519" s="8">
        <f t="shared" si="515"/>
        <v>1.1200000000000001</v>
      </c>
      <c r="P519" s="9">
        <f t="shared" si="505"/>
        <v>84.717948717948715</v>
      </c>
      <c r="Q519" s="5" t="str" cm="1">
        <f t="array" ref="Q519:R519">_xlfn.TEXTSPLIT(N519,"/")</f>
        <v>food</v>
      </c>
      <c r="R519" t="str">
        <v>food trucks</v>
      </c>
      <c r="S519" s="10">
        <f t="shared" ref="S519:T519" si="523">(((J519/60)/60)/24)+DATE(1970,1,1)</f>
        <v>42860.208333333328</v>
      </c>
      <c r="T519" s="10">
        <f t="shared" si="523"/>
        <v>42865.208333333328</v>
      </c>
    </row>
    <row r="520" spans="1:20" ht="15.75" customHeight="1" x14ac:dyDescent="0.25">
      <c r="A520" s="5">
        <v>518</v>
      </c>
      <c r="B520" s="6" t="s">
        <v>1090</v>
      </c>
      <c r="C520" s="7" t="s">
        <v>1091</v>
      </c>
      <c r="D520" s="5">
        <v>8800</v>
      </c>
      <c r="E520" s="5">
        <v>622</v>
      </c>
      <c r="F520" s="5" t="s">
        <v>22</v>
      </c>
      <c r="G520" s="5">
        <v>10</v>
      </c>
      <c r="H520" s="5" t="s">
        <v>29</v>
      </c>
      <c r="I520" s="5" t="s">
        <v>30</v>
      </c>
      <c r="J520" s="5">
        <v>1519365600</v>
      </c>
      <c r="K520" s="5">
        <v>1519538400</v>
      </c>
      <c r="L520" s="5" t="b">
        <v>0</v>
      </c>
      <c r="M520" s="5" t="b">
        <v>1</v>
      </c>
      <c r="N520" s="5" t="s">
        <v>79</v>
      </c>
      <c r="O520" s="8">
        <f t="shared" si="515"/>
        <v>7.0681818181818179E-2</v>
      </c>
      <c r="P520" s="9">
        <f t="shared" si="505"/>
        <v>62.2</v>
      </c>
      <c r="Q520" s="5" t="str" cm="1">
        <f t="array" ref="Q520:R520">_xlfn.TEXTSPLIT(N520,"/")</f>
        <v>film &amp; video</v>
      </c>
      <c r="R520" t="str">
        <v>animation</v>
      </c>
      <c r="S520" s="10">
        <f t="shared" ref="S520:T520" si="524">(((J520/60)/60)/24)+DATE(1970,1,1)</f>
        <v>43154.25</v>
      </c>
      <c r="T520" s="10">
        <f t="shared" si="524"/>
        <v>43156.25</v>
      </c>
    </row>
    <row r="521" spans="1:20" ht="15.75" customHeight="1" x14ac:dyDescent="0.25">
      <c r="A521" s="5">
        <v>519</v>
      </c>
      <c r="B521" s="6" t="s">
        <v>1092</v>
      </c>
      <c r="C521" s="7" t="s">
        <v>1093</v>
      </c>
      <c r="D521" s="5">
        <v>177700</v>
      </c>
      <c r="E521" s="5">
        <v>180802</v>
      </c>
      <c r="F521" s="5" t="s">
        <v>28</v>
      </c>
      <c r="G521" s="5">
        <v>1773</v>
      </c>
      <c r="H521" s="5" t="s">
        <v>29</v>
      </c>
      <c r="I521" s="5" t="s">
        <v>30</v>
      </c>
      <c r="J521" s="5">
        <v>1420696800</v>
      </c>
      <c r="K521" s="5">
        <v>1421906400</v>
      </c>
      <c r="L521" s="5" t="b">
        <v>0</v>
      </c>
      <c r="M521" s="5" t="b">
        <v>1</v>
      </c>
      <c r="N521" s="5" t="s">
        <v>31</v>
      </c>
      <c r="O521" s="8">
        <f t="shared" si="515"/>
        <v>1.0174563871693867</v>
      </c>
      <c r="P521" s="9">
        <f t="shared" si="505"/>
        <v>101.97518330513255</v>
      </c>
      <c r="Q521" s="5" t="str" cm="1">
        <f t="array" ref="Q521:R521">_xlfn.TEXTSPLIT(N521,"/")</f>
        <v>music</v>
      </c>
      <c r="R521" t="str">
        <v>rock</v>
      </c>
      <c r="S521" s="10">
        <f t="shared" ref="S521:T521" si="525">(((J521/60)/60)/24)+DATE(1970,1,1)</f>
        <v>42012.25</v>
      </c>
      <c r="T521" s="10">
        <f t="shared" si="525"/>
        <v>42026.25</v>
      </c>
    </row>
    <row r="522" spans="1:20" ht="15.75" customHeight="1" x14ac:dyDescent="0.25">
      <c r="A522" s="5">
        <v>520</v>
      </c>
      <c r="B522" s="6" t="s">
        <v>1094</v>
      </c>
      <c r="C522" s="7" t="s">
        <v>1095</v>
      </c>
      <c r="D522" s="5">
        <v>800</v>
      </c>
      <c r="E522" s="5">
        <v>3406</v>
      </c>
      <c r="F522" s="5" t="s">
        <v>28</v>
      </c>
      <c r="G522" s="5">
        <v>32</v>
      </c>
      <c r="H522" s="5" t="s">
        <v>29</v>
      </c>
      <c r="I522" s="5" t="s">
        <v>30</v>
      </c>
      <c r="J522" s="5">
        <v>1555650000</v>
      </c>
      <c r="K522" s="5">
        <v>1555909200</v>
      </c>
      <c r="L522" s="5" t="b">
        <v>0</v>
      </c>
      <c r="M522" s="5" t="b">
        <v>0</v>
      </c>
      <c r="N522" s="5" t="s">
        <v>41</v>
      </c>
      <c r="O522" s="8">
        <f t="shared" si="515"/>
        <v>4.2575000000000003</v>
      </c>
      <c r="P522" s="9">
        <f t="shared" si="505"/>
        <v>106.4375</v>
      </c>
      <c r="Q522" s="5" t="str" cm="1">
        <f t="array" ref="Q522:R522">_xlfn.TEXTSPLIT(N522,"/")</f>
        <v>theater</v>
      </c>
      <c r="R522" t="str">
        <v>plays</v>
      </c>
      <c r="S522" s="10">
        <f t="shared" ref="S522:T522" si="526">(((J522/60)/60)/24)+DATE(1970,1,1)</f>
        <v>43574.208333333328</v>
      </c>
      <c r="T522" s="10">
        <f t="shared" si="526"/>
        <v>43577.208333333328</v>
      </c>
    </row>
    <row r="523" spans="1:20" ht="15.75" customHeight="1" x14ac:dyDescent="0.25">
      <c r="A523" s="5">
        <v>521</v>
      </c>
      <c r="B523" s="6" t="s">
        <v>1096</v>
      </c>
      <c r="C523" s="7" t="s">
        <v>149</v>
      </c>
      <c r="D523" s="5">
        <v>7600</v>
      </c>
      <c r="E523" s="5">
        <v>11061</v>
      </c>
      <c r="F523" s="5" t="s">
        <v>28</v>
      </c>
      <c r="G523" s="5">
        <v>369</v>
      </c>
      <c r="H523" s="5" t="s">
        <v>29</v>
      </c>
      <c r="I523" s="5" t="s">
        <v>30</v>
      </c>
      <c r="J523" s="5">
        <v>1471928400</v>
      </c>
      <c r="K523" s="5">
        <v>1472446800</v>
      </c>
      <c r="L523" s="5" t="b">
        <v>0</v>
      </c>
      <c r="M523" s="5" t="b">
        <v>1</v>
      </c>
      <c r="N523" s="5" t="s">
        <v>61</v>
      </c>
      <c r="O523" s="8">
        <f t="shared" si="515"/>
        <v>1.4553947368421052</v>
      </c>
      <c r="P523" s="9">
        <f t="shared" si="505"/>
        <v>29.975609756097562</v>
      </c>
      <c r="Q523" s="5" t="str" cm="1">
        <f t="array" ref="Q523:R523">_xlfn.TEXTSPLIT(N523,"/")</f>
        <v>film &amp; video</v>
      </c>
      <c r="R523" t="str">
        <v>drama</v>
      </c>
      <c r="S523" s="10">
        <f t="shared" ref="S523:T523" si="527">(((J523/60)/60)/24)+DATE(1970,1,1)</f>
        <v>42605.208333333328</v>
      </c>
      <c r="T523" s="10">
        <f t="shared" si="527"/>
        <v>42611.208333333328</v>
      </c>
    </row>
    <row r="524" spans="1:20" ht="15.75" customHeight="1" x14ac:dyDescent="0.25">
      <c r="A524" s="5">
        <v>522</v>
      </c>
      <c r="B524" s="6" t="s">
        <v>1097</v>
      </c>
      <c r="C524" s="7" t="s">
        <v>1098</v>
      </c>
      <c r="D524" s="5">
        <v>50500</v>
      </c>
      <c r="E524" s="5">
        <v>16389</v>
      </c>
      <c r="F524" s="5" t="s">
        <v>22</v>
      </c>
      <c r="G524" s="5">
        <v>191</v>
      </c>
      <c r="H524" s="5" t="s">
        <v>29</v>
      </c>
      <c r="I524" s="5" t="s">
        <v>30</v>
      </c>
      <c r="J524" s="5">
        <v>1341291600</v>
      </c>
      <c r="K524" s="5">
        <v>1342328400</v>
      </c>
      <c r="L524" s="5" t="b">
        <v>0</v>
      </c>
      <c r="M524" s="5" t="b">
        <v>0</v>
      </c>
      <c r="N524" s="5" t="s">
        <v>108</v>
      </c>
      <c r="O524" s="8">
        <f t="shared" si="515"/>
        <v>0.32453465346534655</v>
      </c>
      <c r="P524" s="9">
        <f t="shared" si="505"/>
        <v>85.806282722513089</v>
      </c>
      <c r="Q524" s="5" t="str" cm="1">
        <f t="array" ref="Q524:R524">_xlfn.TEXTSPLIT(N524,"/")</f>
        <v>film &amp; video</v>
      </c>
      <c r="R524" t="str">
        <v>shorts</v>
      </c>
      <c r="S524" s="10">
        <f t="shared" ref="S524:T524" si="528">(((J524/60)/60)/24)+DATE(1970,1,1)</f>
        <v>41093.208333333336</v>
      </c>
      <c r="T524" s="10">
        <f t="shared" si="528"/>
        <v>41105.208333333336</v>
      </c>
    </row>
    <row r="525" spans="1:20" ht="15.75" customHeight="1" x14ac:dyDescent="0.25">
      <c r="A525" s="5">
        <v>523</v>
      </c>
      <c r="B525" s="6" t="s">
        <v>1099</v>
      </c>
      <c r="C525" s="7" t="s">
        <v>1100</v>
      </c>
      <c r="D525" s="5">
        <v>900</v>
      </c>
      <c r="E525" s="5">
        <v>6303</v>
      </c>
      <c r="F525" s="5" t="s">
        <v>28</v>
      </c>
      <c r="G525" s="5">
        <v>89</v>
      </c>
      <c r="H525" s="5" t="s">
        <v>29</v>
      </c>
      <c r="I525" s="5" t="s">
        <v>30</v>
      </c>
      <c r="J525" s="5">
        <v>1267682400</v>
      </c>
      <c r="K525" s="5">
        <v>1268114400</v>
      </c>
      <c r="L525" s="5" t="b">
        <v>0</v>
      </c>
      <c r="M525" s="5" t="b">
        <v>0</v>
      </c>
      <c r="N525" s="5" t="s">
        <v>108</v>
      </c>
      <c r="O525" s="8">
        <f t="shared" si="515"/>
        <v>7.003333333333333</v>
      </c>
      <c r="P525" s="9">
        <f t="shared" si="505"/>
        <v>70.82022471910112</v>
      </c>
      <c r="Q525" s="5" t="str" cm="1">
        <f t="array" ref="Q525:R525">_xlfn.TEXTSPLIT(N525,"/")</f>
        <v>film &amp; video</v>
      </c>
      <c r="R525" t="str">
        <v>shorts</v>
      </c>
      <c r="S525" s="10">
        <f t="shared" ref="S525:T525" si="529">(((J525/60)/60)/24)+DATE(1970,1,1)</f>
        <v>40241.25</v>
      </c>
      <c r="T525" s="10">
        <f t="shared" si="529"/>
        <v>40246.25</v>
      </c>
    </row>
    <row r="526" spans="1:20" ht="15.75" customHeight="1" x14ac:dyDescent="0.25">
      <c r="A526" s="5">
        <v>524</v>
      </c>
      <c r="B526" s="6" t="s">
        <v>1101</v>
      </c>
      <c r="C526" s="7" t="s">
        <v>1102</v>
      </c>
      <c r="D526" s="5">
        <v>96700</v>
      </c>
      <c r="E526" s="5">
        <v>81136</v>
      </c>
      <c r="F526" s="5" t="s">
        <v>22</v>
      </c>
      <c r="G526" s="5">
        <v>1979</v>
      </c>
      <c r="H526" s="5" t="s">
        <v>29</v>
      </c>
      <c r="I526" s="5" t="s">
        <v>30</v>
      </c>
      <c r="J526" s="5">
        <v>1272258000</v>
      </c>
      <c r="K526" s="5">
        <v>1273381200</v>
      </c>
      <c r="L526" s="5" t="b">
        <v>0</v>
      </c>
      <c r="M526" s="5" t="b">
        <v>0</v>
      </c>
      <c r="N526" s="5" t="s">
        <v>41</v>
      </c>
      <c r="O526" s="8">
        <f t="shared" si="515"/>
        <v>0.83904860392967939</v>
      </c>
      <c r="P526" s="9">
        <f t="shared" si="505"/>
        <v>40.998484082870135</v>
      </c>
      <c r="Q526" s="5" t="str" cm="1">
        <f t="array" ref="Q526:R526">_xlfn.TEXTSPLIT(N526,"/")</f>
        <v>theater</v>
      </c>
      <c r="R526" t="str">
        <v>plays</v>
      </c>
      <c r="S526" s="10">
        <f t="shared" ref="S526:T526" si="530">(((J526/60)/60)/24)+DATE(1970,1,1)</f>
        <v>40294.208333333336</v>
      </c>
      <c r="T526" s="10">
        <f t="shared" si="530"/>
        <v>40307.208333333336</v>
      </c>
    </row>
    <row r="527" spans="1:20" ht="15.75" customHeight="1" x14ac:dyDescent="0.25">
      <c r="A527" s="5">
        <v>525</v>
      </c>
      <c r="B527" s="6" t="s">
        <v>1103</v>
      </c>
      <c r="C527" s="7" t="s">
        <v>1104</v>
      </c>
      <c r="D527" s="5">
        <v>2100</v>
      </c>
      <c r="E527" s="5">
        <v>1768</v>
      </c>
      <c r="F527" s="5" t="s">
        <v>22</v>
      </c>
      <c r="G527" s="5">
        <v>63</v>
      </c>
      <c r="H527" s="5" t="s">
        <v>29</v>
      </c>
      <c r="I527" s="5" t="s">
        <v>30</v>
      </c>
      <c r="J527" s="5">
        <v>1290492000</v>
      </c>
      <c r="K527" s="5">
        <v>1290837600</v>
      </c>
      <c r="L527" s="5" t="b">
        <v>0</v>
      </c>
      <c r="M527" s="5" t="b">
        <v>0</v>
      </c>
      <c r="N527" s="5" t="s">
        <v>73</v>
      </c>
      <c r="O527" s="8">
        <f t="shared" si="515"/>
        <v>0.84190476190476193</v>
      </c>
      <c r="P527" s="9">
        <f t="shared" si="505"/>
        <v>28.063492063492063</v>
      </c>
      <c r="Q527" s="5" t="str" cm="1">
        <f t="array" ref="Q527:R527">_xlfn.TEXTSPLIT(N527,"/")</f>
        <v>technology</v>
      </c>
      <c r="R527" t="str">
        <v>wearables</v>
      </c>
      <c r="S527" s="10">
        <f t="shared" ref="S527:T527" si="531">(((J527/60)/60)/24)+DATE(1970,1,1)</f>
        <v>40505.25</v>
      </c>
      <c r="T527" s="10">
        <f t="shared" si="531"/>
        <v>40509.25</v>
      </c>
    </row>
    <row r="528" spans="1:20" ht="15.75" customHeight="1" x14ac:dyDescent="0.25">
      <c r="A528" s="5">
        <v>526</v>
      </c>
      <c r="B528" s="6" t="s">
        <v>1105</v>
      </c>
      <c r="C528" s="7" t="s">
        <v>1106</v>
      </c>
      <c r="D528" s="5">
        <v>8300</v>
      </c>
      <c r="E528" s="5">
        <v>12944</v>
      </c>
      <c r="F528" s="5" t="s">
        <v>28</v>
      </c>
      <c r="G528" s="5">
        <v>147</v>
      </c>
      <c r="H528" s="5" t="s">
        <v>29</v>
      </c>
      <c r="I528" s="5" t="s">
        <v>30</v>
      </c>
      <c r="J528" s="5">
        <v>1451109600</v>
      </c>
      <c r="K528" s="5">
        <v>1454306400</v>
      </c>
      <c r="L528" s="5" t="b">
        <v>0</v>
      </c>
      <c r="M528" s="5" t="b">
        <v>1</v>
      </c>
      <c r="N528" s="5" t="s">
        <v>41</v>
      </c>
      <c r="O528" s="8">
        <f t="shared" si="515"/>
        <v>1.5595180722891566</v>
      </c>
      <c r="P528" s="9">
        <f t="shared" si="505"/>
        <v>88.054421768707485</v>
      </c>
      <c r="Q528" s="5" t="str" cm="1">
        <f t="array" ref="Q528:R528">_xlfn.TEXTSPLIT(N528,"/")</f>
        <v>theater</v>
      </c>
      <c r="R528" t="str">
        <v>plays</v>
      </c>
      <c r="S528" s="10">
        <f t="shared" ref="S528:T528" si="532">(((J528/60)/60)/24)+DATE(1970,1,1)</f>
        <v>42364.25</v>
      </c>
      <c r="T528" s="10">
        <f t="shared" si="532"/>
        <v>42401.25</v>
      </c>
    </row>
    <row r="529" spans="1:20" ht="15.75" customHeight="1" x14ac:dyDescent="0.25">
      <c r="A529" s="5">
        <v>527</v>
      </c>
      <c r="B529" s="6" t="s">
        <v>1107</v>
      </c>
      <c r="C529" s="7" t="s">
        <v>1108</v>
      </c>
      <c r="D529" s="5">
        <v>189200</v>
      </c>
      <c r="E529" s="5">
        <v>188480</v>
      </c>
      <c r="F529" s="5" t="s">
        <v>22</v>
      </c>
      <c r="G529" s="5">
        <v>6080</v>
      </c>
      <c r="H529" s="5" t="s">
        <v>23</v>
      </c>
      <c r="I529" s="5" t="s">
        <v>24</v>
      </c>
      <c r="J529" s="5">
        <v>1454652000</v>
      </c>
      <c r="K529" s="5">
        <v>1457762400</v>
      </c>
      <c r="L529" s="5" t="b">
        <v>0</v>
      </c>
      <c r="M529" s="5" t="b">
        <v>0</v>
      </c>
      <c r="N529" s="5" t="s">
        <v>79</v>
      </c>
      <c r="O529" s="8">
        <f t="shared" si="515"/>
        <v>0.99619450317124736</v>
      </c>
      <c r="P529" s="9">
        <f t="shared" si="505"/>
        <v>31</v>
      </c>
      <c r="Q529" s="5" t="str" cm="1">
        <f t="array" ref="Q529:R529">_xlfn.TEXTSPLIT(N529,"/")</f>
        <v>film &amp; video</v>
      </c>
      <c r="R529" t="str">
        <v>animation</v>
      </c>
      <c r="S529" s="10">
        <f t="shared" ref="S529:T529" si="533">(((J529/60)/60)/24)+DATE(1970,1,1)</f>
        <v>42405.25</v>
      </c>
      <c r="T529" s="10">
        <f t="shared" si="533"/>
        <v>42441.25</v>
      </c>
    </row>
    <row r="530" spans="1:20" ht="15.75" customHeight="1" x14ac:dyDescent="0.25">
      <c r="A530" s="5">
        <v>528</v>
      </c>
      <c r="B530" s="6" t="s">
        <v>1109</v>
      </c>
      <c r="C530" s="7" t="s">
        <v>1110</v>
      </c>
      <c r="D530" s="5">
        <v>9000</v>
      </c>
      <c r="E530" s="5">
        <v>7227</v>
      </c>
      <c r="F530" s="5" t="s">
        <v>22</v>
      </c>
      <c r="G530" s="5">
        <v>80</v>
      </c>
      <c r="H530" s="5" t="s">
        <v>48</v>
      </c>
      <c r="I530" s="5" t="s">
        <v>49</v>
      </c>
      <c r="J530" s="5">
        <v>1385186400</v>
      </c>
      <c r="K530" s="5">
        <v>1389074400</v>
      </c>
      <c r="L530" s="5" t="b">
        <v>0</v>
      </c>
      <c r="M530" s="5" t="b">
        <v>0</v>
      </c>
      <c r="N530" s="5" t="s">
        <v>68</v>
      </c>
      <c r="O530" s="8">
        <f t="shared" si="515"/>
        <v>0.80300000000000005</v>
      </c>
      <c r="P530" s="9">
        <f t="shared" si="505"/>
        <v>90.337500000000006</v>
      </c>
      <c r="Q530" s="5" t="str" cm="1">
        <f t="array" ref="Q530:R530">_xlfn.TEXTSPLIT(N530,"/")</f>
        <v>music</v>
      </c>
      <c r="R530" t="str">
        <v>indie rock</v>
      </c>
      <c r="S530" s="10">
        <f t="shared" ref="S530:T530" si="534">(((J530/60)/60)/24)+DATE(1970,1,1)</f>
        <v>41601.25</v>
      </c>
      <c r="T530" s="10">
        <f t="shared" si="534"/>
        <v>41646.25</v>
      </c>
    </row>
    <row r="531" spans="1:20" ht="15.75" customHeight="1" x14ac:dyDescent="0.25">
      <c r="A531" s="5">
        <v>529</v>
      </c>
      <c r="B531" s="6" t="s">
        <v>1111</v>
      </c>
      <c r="C531" s="7" t="s">
        <v>1112</v>
      </c>
      <c r="D531" s="5">
        <v>5100</v>
      </c>
      <c r="E531" s="5">
        <v>574</v>
      </c>
      <c r="F531" s="5" t="s">
        <v>22</v>
      </c>
      <c r="G531" s="5">
        <v>9</v>
      </c>
      <c r="H531" s="5" t="s">
        <v>29</v>
      </c>
      <c r="I531" s="5" t="s">
        <v>30</v>
      </c>
      <c r="J531" s="5">
        <v>1399698000</v>
      </c>
      <c r="K531" s="5">
        <v>1402117200</v>
      </c>
      <c r="L531" s="5" t="b">
        <v>0</v>
      </c>
      <c r="M531" s="5" t="b">
        <v>0</v>
      </c>
      <c r="N531" s="5" t="s">
        <v>97</v>
      </c>
      <c r="O531" s="8">
        <f t="shared" si="515"/>
        <v>0.11254901960784314</v>
      </c>
      <c r="P531" s="9">
        <f t="shared" si="505"/>
        <v>63.777777777777779</v>
      </c>
      <c r="Q531" s="5" t="str" cm="1">
        <f t="array" ref="Q531:R531">_xlfn.TEXTSPLIT(N531,"/")</f>
        <v>games</v>
      </c>
      <c r="R531" t="str">
        <v>video games</v>
      </c>
      <c r="S531" s="10">
        <f t="shared" ref="S531:T531" si="535">(((J531/60)/60)/24)+DATE(1970,1,1)</f>
        <v>41769.208333333336</v>
      </c>
      <c r="T531" s="10">
        <f t="shared" si="535"/>
        <v>41797.208333333336</v>
      </c>
    </row>
    <row r="532" spans="1:20" ht="15.75" customHeight="1" x14ac:dyDescent="0.25">
      <c r="A532" s="5">
        <v>530</v>
      </c>
      <c r="B532" s="6" t="s">
        <v>1113</v>
      </c>
      <c r="C532" s="7" t="s">
        <v>1114</v>
      </c>
      <c r="D532" s="5">
        <v>105000</v>
      </c>
      <c r="E532" s="5">
        <v>96328</v>
      </c>
      <c r="F532" s="5" t="s">
        <v>22</v>
      </c>
      <c r="G532" s="5">
        <v>1784</v>
      </c>
      <c r="H532" s="5" t="s">
        <v>29</v>
      </c>
      <c r="I532" s="5" t="s">
        <v>30</v>
      </c>
      <c r="J532" s="5">
        <v>1283230800</v>
      </c>
      <c r="K532" s="5">
        <v>1284440400</v>
      </c>
      <c r="L532" s="5" t="b">
        <v>0</v>
      </c>
      <c r="M532" s="5" t="b">
        <v>1</v>
      </c>
      <c r="N532" s="5" t="s">
        <v>127</v>
      </c>
      <c r="O532" s="8">
        <f t="shared" si="515"/>
        <v>0.91740952380952379</v>
      </c>
      <c r="P532" s="9">
        <f t="shared" si="505"/>
        <v>53.995515695067262</v>
      </c>
      <c r="Q532" s="5" t="str" cm="1">
        <f t="array" ref="Q532:R532">_xlfn.TEXTSPLIT(N532,"/")</f>
        <v>publishing</v>
      </c>
      <c r="R532" t="str">
        <v>fiction</v>
      </c>
      <c r="S532" s="10">
        <f t="shared" ref="S532:T532" si="536">(((J532/60)/60)/24)+DATE(1970,1,1)</f>
        <v>40421.208333333336</v>
      </c>
      <c r="T532" s="10">
        <f t="shared" si="536"/>
        <v>40435.208333333336</v>
      </c>
    </row>
    <row r="533" spans="1:20" ht="15.75" customHeight="1" x14ac:dyDescent="0.25">
      <c r="A533" s="5">
        <v>531</v>
      </c>
      <c r="B533" s="6" t="s">
        <v>1115</v>
      </c>
      <c r="C533" s="7" t="s">
        <v>1116</v>
      </c>
      <c r="D533" s="5">
        <v>186700</v>
      </c>
      <c r="E533" s="5">
        <v>178338</v>
      </c>
      <c r="F533" s="5" t="s">
        <v>55</v>
      </c>
      <c r="G533" s="5">
        <v>3640</v>
      </c>
      <c r="H533" s="5" t="s">
        <v>106</v>
      </c>
      <c r="I533" s="5" t="s">
        <v>107</v>
      </c>
      <c r="J533" s="5">
        <v>1384149600</v>
      </c>
      <c r="K533" s="5">
        <v>1388988000</v>
      </c>
      <c r="L533" s="5" t="b">
        <v>0</v>
      </c>
      <c r="M533" s="5" t="b">
        <v>0</v>
      </c>
      <c r="N533" s="5" t="s">
        <v>97</v>
      </c>
      <c r="O533" s="8">
        <f t="shared" si="515"/>
        <v>0.95521156936261387</v>
      </c>
      <c r="P533" s="9">
        <f t="shared" si="505"/>
        <v>48.993956043956047</v>
      </c>
      <c r="Q533" s="5" t="str" cm="1">
        <f t="array" ref="Q533:R533">_xlfn.TEXTSPLIT(N533,"/")</f>
        <v>games</v>
      </c>
      <c r="R533" t="str">
        <v>video games</v>
      </c>
      <c r="S533" s="10">
        <f t="shared" ref="S533:T533" si="537">(((J533/60)/60)/24)+DATE(1970,1,1)</f>
        <v>41589.25</v>
      </c>
      <c r="T533" s="10">
        <f t="shared" si="537"/>
        <v>41645.25</v>
      </c>
    </row>
    <row r="534" spans="1:20" ht="15.75" customHeight="1" x14ac:dyDescent="0.25">
      <c r="A534" s="5">
        <v>532</v>
      </c>
      <c r="B534" s="6" t="s">
        <v>1117</v>
      </c>
      <c r="C534" s="7" t="s">
        <v>1118</v>
      </c>
      <c r="D534" s="5">
        <v>1600</v>
      </c>
      <c r="E534" s="5">
        <v>8046</v>
      </c>
      <c r="F534" s="5" t="s">
        <v>28</v>
      </c>
      <c r="G534" s="5">
        <v>126</v>
      </c>
      <c r="H534" s="5" t="s">
        <v>23</v>
      </c>
      <c r="I534" s="5" t="s">
        <v>24</v>
      </c>
      <c r="J534" s="5">
        <v>1516860000</v>
      </c>
      <c r="K534" s="5">
        <v>1516946400</v>
      </c>
      <c r="L534" s="5" t="b">
        <v>0</v>
      </c>
      <c r="M534" s="5" t="b">
        <v>0</v>
      </c>
      <c r="N534" s="5" t="s">
        <v>41</v>
      </c>
      <c r="O534" s="8">
        <f t="shared" si="515"/>
        <v>5.0287499999999996</v>
      </c>
      <c r="P534" s="9">
        <f t="shared" si="505"/>
        <v>63.857142857142854</v>
      </c>
      <c r="Q534" s="5" t="str" cm="1">
        <f t="array" ref="Q534:R534">_xlfn.TEXTSPLIT(N534,"/")</f>
        <v>theater</v>
      </c>
      <c r="R534" t="str">
        <v>plays</v>
      </c>
      <c r="S534" s="10">
        <f t="shared" ref="S534:T534" si="538">(((J534/60)/60)/24)+DATE(1970,1,1)</f>
        <v>43125.25</v>
      </c>
      <c r="T534" s="10">
        <f t="shared" si="538"/>
        <v>43126.25</v>
      </c>
    </row>
    <row r="535" spans="1:20" ht="15.75" customHeight="1" x14ac:dyDescent="0.25">
      <c r="A535" s="5">
        <v>533</v>
      </c>
      <c r="B535" s="6" t="s">
        <v>1119</v>
      </c>
      <c r="C535" s="7" t="s">
        <v>1120</v>
      </c>
      <c r="D535" s="5">
        <v>115600</v>
      </c>
      <c r="E535" s="5">
        <v>184086</v>
      </c>
      <c r="F535" s="5" t="s">
        <v>28</v>
      </c>
      <c r="G535" s="5">
        <v>2218</v>
      </c>
      <c r="H535" s="5" t="s">
        <v>48</v>
      </c>
      <c r="I535" s="5" t="s">
        <v>49</v>
      </c>
      <c r="J535" s="5">
        <v>1374642000</v>
      </c>
      <c r="K535" s="5">
        <v>1377752400</v>
      </c>
      <c r="L535" s="5" t="b">
        <v>0</v>
      </c>
      <c r="M535" s="5" t="b">
        <v>0</v>
      </c>
      <c r="N535" s="5" t="s">
        <v>68</v>
      </c>
      <c r="O535" s="8">
        <f t="shared" si="515"/>
        <v>1.5924394463667819</v>
      </c>
      <c r="P535" s="9">
        <f t="shared" si="505"/>
        <v>82.996393146979258</v>
      </c>
      <c r="Q535" s="5" t="str" cm="1">
        <f t="array" ref="Q535:R535">_xlfn.TEXTSPLIT(N535,"/")</f>
        <v>music</v>
      </c>
      <c r="R535" t="str">
        <v>indie rock</v>
      </c>
      <c r="S535" s="10">
        <f t="shared" ref="S535:T535" si="539">(((J535/60)/60)/24)+DATE(1970,1,1)</f>
        <v>41479.208333333336</v>
      </c>
      <c r="T535" s="10">
        <f t="shared" si="539"/>
        <v>41515.208333333336</v>
      </c>
    </row>
    <row r="536" spans="1:20" ht="15.75" customHeight="1" x14ac:dyDescent="0.25">
      <c r="A536" s="5">
        <v>534</v>
      </c>
      <c r="B536" s="6" t="s">
        <v>1121</v>
      </c>
      <c r="C536" s="7" t="s">
        <v>1122</v>
      </c>
      <c r="D536" s="5">
        <v>89100</v>
      </c>
      <c r="E536" s="5">
        <v>13385</v>
      </c>
      <c r="F536" s="5" t="s">
        <v>22</v>
      </c>
      <c r="G536" s="5">
        <v>243</v>
      </c>
      <c r="H536" s="5" t="s">
        <v>29</v>
      </c>
      <c r="I536" s="5" t="s">
        <v>30</v>
      </c>
      <c r="J536" s="5">
        <v>1534482000</v>
      </c>
      <c r="K536" s="5">
        <v>1534568400</v>
      </c>
      <c r="L536" s="5" t="b">
        <v>0</v>
      </c>
      <c r="M536" s="5" t="b">
        <v>1</v>
      </c>
      <c r="N536" s="5" t="s">
        <v>61</v>
      </c>
      <c r="O536" s="8">
        <f t="shared" si="515"/>
        <v>0.15022446689113356</v>
      </c>
      <c r="P536" s="9">
        <f t="shared" si="505"/>
        <v>55.08230452674897</v>
      </c>
      <c r="Q536" s="5" t="str" cm="1">
        <f t="array" ref="Q536:R536">_xlfn.TEXTSPLIT(N536,"/")</f>
        <v>film &amp; video</v>
      </c>
      <c r="R536" t="str">
        <v>drama</v>
      </c>
      <c r="S536" s="10">
        <f t="shared" ref="S536:T536" si="540">(((J536/60)/60)/24)+DATE(1970,1,1)</f>
        <v>43329.208333333328</v>
      </c>
      <c r="T536" s="10">
        <f t="shared" si="540"/>
        <v>43330.208333333328</v>
      </c>
    </row>
    <row r="537" spans="1:20" ht="15.75" customHeight="1" x14ac:dyDescent="0.25">
      <c r="A537" s="5">
        <v>535</v>
      </c>
      <c r="B537" s="6" t="s">
        <v>1123</v>
      </c>
      <c r="C537" s="7" t="s">
        <v>1124</v>
      </c>
      <c r="D537" s="5">
        <v>2600</v>
      </c>
      <c r="E537" s="5">
        <v>12533</v>
      </c>
      <c r="F537" s="5" t="s">
        <v>28</v>
      </c>
      <c r="G537" s="5">
        <v>202</v>
      </c>
      <c r="H537" s="5" t="s">
        <v>115</v>
      </c>
      <c r="I537" s="5" t="s">
        <v>116</v>
      </c>
      <c r="J537" s="5">
        <v>1528434000</v>
      </c>
      <c r="K537" s="5">
        <v>1528606800</v>
      </c>
      <c r="L537" s="5" t="b">
        <v>0</v>
      </c>
      <c r="M537" s="5" t="b">
        <v>1</v>
      </c>
      <c r="N537" s="5" t="s">
        <v>41</v>
      </c>
      <c r="O537" s="8">
        <f t="shared" si="515"/>
        <v>4.820384615384615</v>
      </c>
      <c r="P537" s="9">
        <f t="shared" si="505"/>
        <v>62.044554455445542</v>
      </c>
      <c r="Q537" s="5" t="str" cm="1">
        <f t="array" ref="Q537:R537">_xlfn.TEXTSPLIT(N537,"/")</f>
        <v>theater</v>
      </c>
      <c r="R537" t="str">
        <v>plays</v>
      </c>
      <c r="S537" s="10">
        <f t="shared" ref="S537:T537" si="541">(((J537/60)/60)/24)+DATE(1970,1,1)</f>
        <v>43259.208333333328</v>
      </c>
      <c r="T537" s="10">
        <f t="shared" si="541"/>
        <v>43261.208333333328</v>
      </c>
    </row>
    <row r="538" spans="1:20" ht="15.75" customHeight="1" x14ac:dyDescent="0.25">
      <c r="A538" s="5">
        <v>536</v>
      </c>
      <c r="B538" s="6" t="s">
        <v>1125</v>
      </c>
      <c r="C538" s="7" t="s">
        <v>1126</v>
      </c>
      <c r="D538" s="5">
        <v>9800</v>
      </c>
      <c r="E538" s="5">
        <v>14697</v>
      </c>
      <c r="F538" s="5" t="s">
        <v>28</v>
      </c>
      <c r="G538" s="5">
        <v>140</v>
      </c>
      <c r="H538" s="5" t="s">
        <v>115</v>
      </c>
      <c r="I538" s="5" t="s">
        <v>116</v>
      </c>
      <c r="J538" s="5">
        <v>1282626000</v>
      </c>
      <c r="K538" s="5">
        <v>1284872400</v>
      </c>
      <c r="L538" s="5" t="b">
        <v>0</v>
      </c>
      <c r="M538" s="5" t="b">
        <v>0</v>
      </c>
      <c r="N538" s="5" t="s">
        <v>127</v>
      </c>
      <c r="O538" s="8">
        <f t="shared" si="515"/>
        <v>1.4996938775510205</v>
      </c>
      <c r="P538" s="9">
        <f t="shared" si="505"/>
        <v>104.97857142857143</v>
      </c>
      <c r="Q538" s="5" t="str" cm="1">
        <f t="array" ref="Q538:R538">_xlfn.TEXTSPLIT(N538,"/")</f>
        <v>publishing</v>
      </c>
      <c r="R538" t="str">
        <v>fiction</v>
      </c>
      <c r="S538" s="10">
        <f t="shared" ref="S538:T538" si="542">(((J538/60)/60)/24)+DATE(1970,1,1)</f>
        <v>40414.208333333336</v>
      </c>
      <c r="T538" s="10">
        <f t="shared" si="542"/>
        <v>40440.208333333336</v>
      </c>
    </row>
    <row r="539" spans="1:20" ht="15.75" customHeight="1" x14ac:dyDescent="0.25">
      <c r="A539" s="5">
        <v>537</v>
      </c>
      <c r="B539" s="6" t="s">
        <v>1127</v>
      </c>
      <c r="C539" s="7" t="s">
        <v>1128</v>
      </c>
      <c r="D539" s="5">
        <v>84400</v>
      </c>
      <c r="E539" s="5">
        <v>98935</v>
      </c>
      <c r="F539" s="5" t="s">
        <v>28</v>
      </c>
      <c r="G539" s="5">
        <v>1052</v>
      </c>
      <c r="H539" s="5" t="s">
        <v>44</v>
      </c>
      <c r="I539" s="5" t="s">
        <v>45</v>
      </c>
      <c r="J539" s="5">
        <v>1535605200</v>
      </c>
      <c r="K539" s="5">
        <v>1537592400</v>
      </c>
      <c r="L539" s="5" t="b">
        <v>1</v>
      </c>
      <c r="M539" s="5" t="b">
        <v>1</v>
      </c>
      <c r="N539" s="5" t="s">
        <v>50</v>
      </c>
      <c r="O539" s="8">
        <f t="shared" si="515"/>
        <v>1.1722156398104266</v>
      </c>
      <c r="P539" s="9">
        <f t="shared" si="505"/>
        <v>94.044676806083643</v>
      </c>
      <c r="Q539" s="5" t="str" cm="1">
        <f t="array" ref="Q539:R539">_xlfn.TEXTSPLIT(N539,"/")</f>
        <v>film &amp; video</v>
      </c>
      <c r="R539" t="str">
        <v>documentary</v>
      </c>
      <c r="S539" s="10">
        <f t="shared" ref="S539:T539" si="543">(((J539/60)/60)/24)+DATE(1970,1,1)</f>
        <v>43342.208333333328</v>
      </c>
      <c r="T539" s="10">
        <f t="shared" si="543"/>
        <v>43365.208333333328</v>
      </c>
    </row>
    <row r="540" spans="1:20" ht="15.75" customHeight="1" x14ac:dyDescent="0.25">
      <c r="A540" s="5">
        <v>538</v>
      </c>
      <c r="B540" s="6" t="s">
        <v>1129</v>
      </c>
      <c r="C540" s="7" t="s">
        <v>1130</v>
      </c>
      <c r="D540" s="5">
        <v>151300</v>
      </c>
      <c r="E540" s="5">
        <v>57034</v>
      </c>
      <c r="F540" s="5" t="s">
        <v>22</v>
      </c>
      <c r="G540" s="5">
        <v>1296</v>
      </c>
      <c r="H540" s="5" t="s">
        <v>29</v>
      </c>
      <c r="I540" s="5" t="s">
        <v>30</v>
      </c>
      <c r="J540" s="5">
        <v>1379826000</v>
      </c>
      <c r="K540" s="5">
        <v>1381208400</v>
      </c>
      <c r="L540" s="5" t="b">
        <v>0</v>
      </c>
      <c r="M540" s="5" t="b">
        <v>0</v>
      </c>
      <c r="N540" s="5" t="s">
        <v>300</v>
      </c>
      <c r="O540" s="8">
        <f t="shared" si="515"/>
        <v>0.37695968274950431</v>
      </c>
      <c r="P540" s="9">
        <f t="shared" si="505"/>
        <v>44.007716049382715</v>
      </c>
      <c r="Q540" s="5" t="str" cm="1">
        <f t="array" ref="Q540:R540">_xlfn.TEXTSPLIT(N540,"/")</f>
        <v>games</v>
      </c>
      <c r="R540" t="str">
        <v>mobile games</v>
      </c>
      <c r="S540" s="10">
        <f t="shared" ref="S540:T540" si="544">(((J540/60)/60)/24)+DATE(1970,1,1)</f>
        <v>41539.208333333336</v>
      </c>
      <c r="T540" s="10">
        <f t="shared" si="544"/>
        <v>41555.208333333336</v>
      </c>
    </row>
    <row r="541" spans="1:20" ht="15.75" customHeight="1" x14ac:dyDescent="0.25">
      <c r="A541" s="5">
        <v>539</v>
      </c>
      <c r="B541" s="6" t="s">
        <v>1131</v>
      </c>
      <c r="C541" s="7" t="s">
        <v>1132</v>
      </c>
      <c r="D541" s="5">
        <v>9800</v>
      </c>
      <c r="E541" s="5">
        <v>7120</v>
      </c>
      <c r="F541" s="5" t="s">
        <v>22</v>
      </c>
      <c r="G541" s="5">
        <v>77</v>
      </c>
      <c r="H541" s="5" t="s">
        <v>29</v>
      </c>
      <c r="I541" s="5" t="s">
        <v>30</v>
      </c>
      <c r="J541" s="5">
        <v>1561957200</v>
      </c>
      <c r="K541" s="5">
        <v>1562475600</v>
      </c>
      <c r="L541" s="5" t="b">
        <v>0</v>
      </c>
      <c r="M541" s="5" t="b">
        <v>1</v>
      </c>
      <c r="N541" s="5" t="s">
        <v>25</v>
      </c>
      <c r="O541" s="8">
        <f t="shared" si="515"/>
        <v>0.72653061224489801</v>
      </c>
      <c r="P541" s="9">
        <f t="shared" si="505"/>
        <v>92.467532467532465</v>
      </c>
      <c r="Q541" s="5" t="str" cm="1">
        <f t="array" ref="Q541:R541">_xlfn.TEXTSPLIT(N541,"/")</f>
        <v>food</v>
      </c>
      <c r="R541" t="str">
        <v>food trucks</v>
      </c>
      <c r="S541" s="10">
        <f t="shared" ref="S541:T541" si="545">(((J541/60)/60)/24)+DATE(1970,1,1)</f>
        <v>43647.208333333328</v>
      </c>
      <c r="T541" s="10">
        <f t="shared" si="545"/>
        <v>43653.208333333328</v>
      </c>
    </row>
    <row r="542" spans="1:20" ht="15.75" customHeight="1" x14ac:dyDescent="0.25">
      <c r="A542" s="5">
        <v>540</v>
      </c>
      <c r="B542" s="6" t="s">
        <v>1133</v>
      </c>
      <c r="C542" s="7" t="s">
        <v>1134</v>
      </c>
      <c r="D542" s="5">
        <v>5300</v>
      </c>
      <c r="E542" s="5">
        <v>14097</v>
      </c>
      <c r="F542" s="5" t="s">
        <v>28</v>
      </c>
      <c r="G542" s="5">
        <v>247</v>
      </c>
      <c r="H542" s="5" t="s">
        <v>29</v>
      </c>
      <c r="I542" s="5" t="s">
        <v>30</v>
      </c>
      <c r="J542" s="5">
        <v>1525496400</v>
      </c>
      <c r="K542" s="5">
        <v>1527397200</v>
      </c>
      <c r="L542" s="5" t="b">
        <v>0</v>
      </c>
      <c r="M542" s="5" t="b">
        <v>0</v>
      </c>
      <c r="N542" s="5" t="s">
        <v>130</v>
      </c>
      <c r="O542" s="8">
        <f t="shared" si="515"/>
        <v>2.6598113207547169</v>
      </c>
      <c r="P542" s="9">
        <f t="shared" si="505"/>
        <v>57.072874493927124</v>
      </c>
      <c r="Q542" s="5" t="str" cm="1">
        <f t="array" ref="Q542:R542">_xlfn.TEXTSPLIT(N542,"/")</f>
        <v>photography</v>
      </c>
      <c r="R542" t="str">
        <v>photography books</v>
      </c>
      <c r="S542" s="10">
        <f t="shared" ref="S542:T542" si="546">(((J542/60)/60)/24)+DATE(1970,1,1)</f>
        <v>43225.208333333328</v>
      </c>
      <c r="T542" s="10">
        <f t="shared" si="546"/>
        <v>43247.208333333328</v>
      </c>
    </row>
    <row r="543" spans="1:20" ht="15.75" customHeight="1" x14ac:dyDescent="0.25">
      <c r="A543" s="5">
        <v>541</v>
      </c>
      <c r="B543" s="6" t="s">
        <v>1135</v>
      </c>
      <c r="C543" s="7" t="s">
        <v>1136</v>
      </c>
      <c r="D543" s="5">
        <v>178000</v>
      </c>
      <c r="E543" s="5">
        <v>43086</v>
      </c>
      <c r="F543" s="5" t="s">
        <v>22</v>
      </c>
      <c r="G543" s="5">
        <v>395</v>
      </c>
      <c r="H543" s="5" t="s">
        <v>115</v>
      </c>
      <c r="I543" s="5" t="s">
        <v>116</v>
      </c>
      <c r="J543" s="5">
        <v>1433912400</v>
      </c>
      <c r="K543" s="5">
        <v>1436158800</v>
      </c>
      <c r="L543" s="5" t="b">
        <v>0</v>
      </c>
      <c r="M543" s="5" t="b">
        <v>0</v>
      </c>
      <c r="N543" s="5" t="s">
        <v>300</v>
      </c>
      <c r="O543" s="8">
        <f t="shared" si="515"/>
        <v>0.24205617977528091</v>
      </c>
      <c r="P543" s="9">
        <f t="shared" si="505"/>
        <v>109.07848101265823</v>
      </c>
      <c r="Q543" s="5" t="str" cm="1">
        <f t="array" ref="Q543:R543">_xlfn.TEXTSPLIT(N543,"/")</f>
        <v>games</v>
      </c>
      <c r="R543" t="str">
        <v>mobile games</v>
      </c>
      <c r="S543" s="10">
        <f t="shared" ref="S543:T543" si="547">(((J543/60)/60)/24)+DATE(1970,1,1)</f>
        <v>42165.208333333328</v>
      </c>
      <c r="T543" s="10">
        <f t="shared" si="547"/>
        <v>42191.208333333328</v>
      </c>
    </row>
    <row r="544" spans="1:20" ht="15.75" customHeight="1" x14ac:dyDescent="0.25">
      <c r="A544" s="5">
        <v>542</v>
      </c>
      <c r="B544" s="6" t="s">
        <v>1137</v>
      </c>
      <c r="C544" s="7" t="s">
        <v>1138</v>
      </c>
      <c r="D544" s="5">
        <v>77000</v>
      </c>
      <c r="E544" s="5">
        <v>1930</v>
      </c>
      <c r="F544" s="5" t="s">
        <v>22</v>
      </c>
      <c r="G544" s="5">
        <v>49</v>
      </c>
      <c r="H544" s="5" t="s">
        <v>48</v>
      </c>
      <c r="I544" s="5" t="s">
        <v>49</v>
      </c>
      <c r="J544" s="5">
        <v>1453442400</v>
      </c>
      <c r="K544" s="5">
        <v>1456034400</v>
      </c>
      <c r="L544" s="5" t="b">
        <v>0</v>
      </c>
      <c r="M544" s="5" t="b">
        <v>0</v>
      </c>
      <c r="N544" s="5" t="s">
        <v>68</v>
      </c>
      <c r="O544" s="8">
        <f t="shared" si="515"/>
        <v>2.5064935064935064E-2</v>
      </c>
      <c r="P544" s="9">
        <f t="shared" si="505"/>
        <v>39.387755102040813</v>
      </c>
      <c r="Q544" s="5" t="str" cm="1">
        <f t="array" ref="Q544:R544">_xlfn.TEXTSPLIT(N544,"/")</f>
        <v>music</v>
      </c>
      <c r="R544" t="str">
        <v>indie rock</v>
      </c>
      <c r="S544" s="10">
        <f t="shared" ref="S544:T544" si="548">(((J544/60)/60)/24)+DATE(1970,1,1)</f>
        <v>42391.25</v>
      </c>
      <c r="T544" s="10">
        <f t="shared" si="548"/>
        <v>42421.25</v>
      </c>
    </row>
    <row r="545" spans="1:20" ht="15.75" customHeight="1" x14ac:dyDescent="0.25">
      <c r="A545" s="5">
        <v>543</v>
      </c>
      <c r="B545" s="6" t="s">
        <v>1139</v>
      </c>
      <c r="C545" s="7" t="s">
        <v>1140</v>
      </c>
      <c r="D545" s="5">
        <v>84900</v>
      </c>
      <c r="E545" s="5">
        <v>13864</v>
      </c>
      <c r="F545" s="5" t="s">
        <v>22</v>
      </c>
      <c r="G545" s="5">
        <v>180</v>
      </c>
      <c r="H545" s="5" t="s">
        <v>29</v>
      </c>
      <c r="I545" s="5" t="s">
        <v>30</v>
      </c>
      <c r="J545" s="5">
        <v>1378875600</v>
      </c>
      <c r="K545" s="5">
        <v>1380171600</v>
      </c>
      <c r="L545" s="5" t="b">
        <v>0</v>
      </c>
      <c r="M545" s="5" t="b">
        <v>0</v>
      </c>
      <c r="N545" s="5" t="s">
        <v>97</v>
      </c>
      <c r="O545" s="8">
        <f t="shared" si="515"/>
        <v>0.1632979976442874</v>
      </c>
      <c r="P545" s="9">
        <f t="shared" si="505"/>
        <v>77.022222222222226</v>
      </c>
      <c r="Q545" s="5" t="str" cm="1">
        <f t="array" ref="Q545:R545">_xlfn.TEXTSPLIT(N545,"/")</f>
        <v>games</v>
      </c>
      <c r="R545" t="str">
        <v>video games</v>
      </c>
      <c r="S545" s="10">
        <f t="shared" ref="S545:T545" si="549">(((J545/60)/60)/24)+DATE(1970,1,1)</f>
        <v>41528.208333333336</v>
      </c>
      <c r="T545" s="10">
        <f t="shared" si="549"/>
        <v>41543.208333333336</v>
      </c>
    </row>
    <row r="546" spans="1:20" ht="15.75" customHeight="1" x14ac:dyDescent="0.25">
      <c r="A546" s="5">
        <v>544</v>
      </c>
      <c r="B546" s="6" t="s">
        <v>1141</v>
      </c>
      <c r="C546" s="7" t="s">
        <v>1142</v>
      </c>
      <c r="D546" s="5">
        <v>2800</v>
      </c>
      <c r="E546" s="5">
        <v>7742</v>
      </c>
      <c r="F546" s="5" t="s">
        <v>28</v>
      </c>
      <c r="G546" s="5">
        <v>84</v>
      </c>
      <c r="H546" s="5" t="s">
        <v>29</v>
      </c>
      <c r="I546" s="5" t="s">
        <v>30</v>
      </c>
      <c r="J546" s="5">
        <v>1452232800</v>
      </c>
      <c r="K546" s="5">
        <v>1453356000</v>
      </c>
      <c r="L546" s="5" t="b">
        <v>0</v>
      </c>
      <c r="M546" s="5" t="b">
        <v>0</v>
      </c>
      <c r="N546" s="5" t="s">
        <v>31</v>
      </c>
      <c r="O546" s="8">
        <f t="shared" si="515"/>
        <v>2.7650000000000001</v>
      </c>
      <c r="P546" s="9">
        <f t="shared" si="505"/>
        <v>92.166666666666671</v>
      </c>
      <c r="Q546" s="5" t="str" cm="1">
        <f t="array" ref="Q546:R546">_xlfn.TEXTSPLIT(N546,"/")</f>
        <v>music</v>
      </c>
      <c r="R546" t="str">
        <v>rock</v>
      </c>
      <c r="S546" s="10">
        <f t="shared" ref="S546:T546" si="550">(((J546/60)/60)/24)+DATE(1970,1,1)</f>
        <v>42377.25</v>
      </c>
      <c r="T546" s="10">
        <f t="shared" si="550"/>
        <v>42390.25</v>
      </c>
    </row>
    <row r="547" spans="1:20" ht="15.75" customHeight="1" x14ac:dyDescent="0.25">
      <c r="A547" s="5">
        <v>545</v>
      </c>
      <c r="B547" s="6" t="s">
        <v>1143</v>
      </c>
      <c r="C547" s="7" t="s">
        <v>1144</v>
      </c>
      <c r="D547" s="5">
        <v>184800</v>
      </c>
      <c r="E547" s="5">
        <v>164109</v>
      </c>
      <c r="F547" s="5" t="s">
        <v>22</v>
      </c>
      <c r="G547" s="5">
        <v>2690</v>
      </c>
      <c r="H547" s="5" t="s">
        <v>29</v>
      </c>
      <c r="I547" s="5" t="s">
        <v>30</v>
      </c>
      <c r="J547" s="5">
        <v>1577253600</v>
      </c>
      <c r="K547" s="5">
        <v>1578981600</v>
      </c>
      <c r="L547" s="5" t="b">
        <v>0</v>
      </c>
      <c r="M547" s="5" t="b">
        <v>0</v>
      </c>
      <c r="N547" s="5" t="s">
        <v>41</v>
      </c>
      <c r="O547" s="8">
        <f t="shared" si="515"/>
        <v>0.88803571428571426</v>
      </c>
      <c r="P547" s="9">
        <f t="shared" si="505"/>
        <v>61.007063197026021</v>
      </c>
      <c r="Q547" s="5" t="str" cm="1">
        <f t="array" ref="Q547:R547">_xlfn.TEXTSPLIT(N547,"/")</f>
        <v>theater</v>
      </c>
      <c r="R547" t="str">
        <v>plays</v>
      </c>
      <c r="S547" s="10">
        <f t="shared" ref="S547:T547" si="551">(((J547/60)/60)/24)+DATE(1970,1,1)</f>
        <v>43824.25</v>
      </c>
      <c r="T547" s="10">
        <f t="shared" si="551"/>
        <v>43844.25</v>
      </c>
    </row>
    <row r="548" spans="1:20" ht="15.75" customHeight="1" x14ac:dyDescent="0.25">
      <c r="A548" s="5">
        <v>546</v>
      </c>
      <c r="B548" s="6" t="s">
        <v>1145</v>
      </c>
      <c r="C548" s="7" t="s">
        <v>1146</v>
      </c>
      <c r="D548" s="5">
        <v>4200</v>
      </c>
      <c r="E548" s="5">
        <v>6870</v>
      </c>
      <c r="F548" s="5" t="s">
        <v>28</v>
      </c>
      <c r="G548" s="5">
        <v>88</v>
      </c>
      <c r="H548" s="5" t="s">
        <v>29</v>
      </c>
      <c r="I548" s="5" t="s">
        <v>30</v>
      </c>
      <c r="J548" s="5">
        <v>1537160400</v>
      </c>
      <c r="K548" s="5">
        <v>1537419600</v>
      </c>
      <c r="L548" s="5" t="b">
        <v>0</v>
      </c>
      <c r="M548" s="5" t="b">
        <v>1</v>
      </c>
      <c r="N548" s="5" t="s">
        <v>41</v>
      </c>
      <c r="O548" s="8">
        <f t="shared" si="515"/>
        <v>1.6357142857142857</v>
      </c>
      <c r="P548" s="9">
        <f t="shared" si="505"/>
        <v>78.068181818181813</v>
      </c>
      <c r="Q548" s="5" t="str" cm="1">
        <f t="array" ref="Q548:R548">_xlfn.TEXTSPLIT(N548,"/")</f>
        <v>theater</v>
      </c>
      <c r="R548" t="str">
        <v>plays</v>
      </c>
      <c r="S548" s="10">
        <f t="shared" ref="S548:T548" si="552">(((J548/60)/60)/24)+DATE(1970,1,1)</f>
        <v>43360.208333333328</v>
      </c>
      <c r="T548" s="10">
        <f t="shared" si="552"/>
        <v>43363.208333333328</v>
      </c>
    </row>
    <row r="549" spans="1:20" ht="15.75" customHeight="1" x14ac:dyDescent="0.25">
      <c r="A549" s="5">
        <v>547</v>
      </c>
      <c r="B549" s="6" t="s">
        <v>1147</v>
      </c>
      <c r="C549" s="7" t="s">
        <v>1148</v>
      </c>
      <c r="D549" s="5">
        <v>1300</v>
      </c>
      <c r="E549" s="5">
        <v>12597</v>
      </c>
      <c r="F549" s="5" t="s">
        <v>28</v>
      </c>
      <c r="G549" s="5">
        <v>156</v>
      </c>
      <c r="H549" s="5" t="s">
        <v>29</v>
      </c>
      <c r="I549" s="5" t="s">
        <v>30</v>
      </c>
      <c r="J549" s="5">
        <v>1422165600</v>
      </c>
      <c r="K549" s="5">
        <v>1423202400</v>
      </c>
      <c r="L549" s="5" t="b">
        <v>0</v>
      </c>
      <c r="M549" s="5" t="b">
        <v>0</v>
      </c>
      <c r="N549" s="5" t="s">
        <v>61</v>
      </c>
      <c r="O549" s="8">
        <f t="shared" si="515"/>
        <v>9.69</v>
      </c>
      <c r="P549" s="9">
        <f t="shared" si="505"/>
        <v>80.75</v>
      </c>
      <c r="Q549" s="5" t="str" cm="1">
        <f t="array" ref="Q549:R549">_xlfn.TEXTSPLIT(N549,"/")</f>
        <v>film &amp; video</v>
      </c>
      <c r="R549" t="str">
        <v>drama</v>
      </c>
      <c r="S549" s="10">
        <f t="shared" ref="S549:T549" si="553">(((J549/60)/60)/24)+DATE(1970,1,1)</f>
        <v>42029.25</v>
      </c>
      <c r="T549" s="10">
        <f t="shared" si="553"/>
        <v>42041.25</v>
      </c>
    </row>
    <row r="550" spans="1:20" ht="15.75" customHeight="1" x14ac:dyDescent="0.25">
      <c r="A550" s="5">
        <v>548</v>
      </c>
      <c r="B550" s="6" t="s">
        <v>1149</v>
      </c>
      <c r="C550" s="7" t="s">
        <v>1150</v>
      </c>
      <c r="D550" s="5">
        <v>66100</v>
      </c>
      <c r="E550" s="5">
        <v>179074</v>
      </c>
      <c r="F550" s="5" t="s">
        <v>28</v>
      </c>
      <c r="G550" s="5">
        <v>2985</v>
      </c>
      <c r="H550" s="5" t="s">
        <v>29</v>
      </c>
      <c r="I550" s="5" t="s">
        <v>30</v>
      </c>
      <c r="J550" s="5">
        <v>1459486800</v>
      </c>
      <c r="K550" s="5">
        <v>1460610000</v>
      </c>
      <c r="L550" s="5" t="b">
        <v>0</v>
      </c>
      <c r="M550" s="5" t="b">
        <v>0</v>
      </c>
      <c r="N550" s="5" t="s">
        <v>41</v>
      </c>
      <c r="O550" s="8">
        <f t="shared" si="515"/>
        <v>2.7091376701966716</v>
      </c>
      <c r="P550" s="9">
        <f t="shared" si="505"/>
        <v>59.991289782244557</v>
      </c>
      <c r="Q550" s="5" t="str" cm="1">
        <f t="array" ref="Q550:R550">_xlfn.TEXTSPLIT(N550,"/")</f>
        <v>theater</v>
      </c>
      <c r="R550" t="str">
        <v>plays</v>
      </c>
      <c r="S550" s="10">
        <f t="shared" ref="S550:T550" si="554">(((J550/60)/60)/24)+DATE(1970,1,1)</f>
        <v>42461.208333333328</v>
      </c>
      <c r="T550" s="10">
        <f t="shared" si="554"/>
        <v>42474.208333333328</v>
      </c>
    </row>
    <row r="551" spans="1:20" ht="15.75" customHeight="1" x14ac:dyDescent="0.25">
      <c r="A551" s="5">
        <v>549</v>
      </c>
      <c r="B551" s="6" t="s">
        <v>1151</v>
      </c>
      <c r="C551" s="7" t="s">
        <v>1152</v>
      </c>
      <c r="D551" s="5">
        <v>29500</v>
      </c>
      <c r="E551" s="5">
        <v>83843</v>
      </c>
      <c r="F551" s="5" t="s">
        <v>28</v>
      </c>
      <c r="G551" s="5">
        <v>762</v>
      </c>
      <c r="H551" s="5" t="s">
        <v>29</v>
      </c>
      <c r="I551" s="5" t="s">
        <v>30</v>
      </c>
      <c r="J551" s="5">
        <v>1369717200</v>
      </c>
      <c r="K551" s="5">
        <v>1370494800</v>
      </c>
      <c r="L551" s="5" t="b">
        <v>0</v>
      </c>
      <c r="M551" s="5" t="b">
        <v>0</v>
      </c>
      <c r="N551" s="5" t="s">
        <v>73</v>
      </c>
      <c r="O551" s="8">
        <f t="shared" si="515"/>
        <v>2.8421355932203389</v>
      </c>
      <c r="P551" s="9">
        <f t="shared" si="505"/>
        <v>110.03018372703411</v>
      </c>
      <c r="Q551" s="5" t="str" cm="1">
        <f t="array" ref="Q551:R551">_xlfn.TEXTSPLIT(N551,"/")</f>
        <v>technology</v>
      </c>
      <c r="R551" t="str">
        <v>wearables</v>
      </c>
      <c r="S551" s="10">
        <f t="shared" ref="S551:T551" si="555">(((J551/60)/60)/24)+DATE(1970,1,1)</f>
        <v>41422.208333333336</v>
      </c>
      <c r="T551" s="10">
        <f t="shared" si="555"/>
        <v>41431.208333333336</v>
      </c>
    </row>
    <row r="552" spans="1:20" ht="15.75" customHeight="1" x14ac:dyDescent="0.25">
      <c r="A552" s="5">
        <v>550</v>
      </c>
      <c r="B552" s="6" t="s">
        <v>1153</v>
      </c>
      <c r="C552" s="7" t="s">
        <v>1154</v>
      </c>
      <c r="D552" s="5">
        <v>100</v>
      </c>
      <c r="E552" s="5">
        <v>4</v>
      </c>
      <c r="F552" s="5" t="s">
        <v>82</v>
      </c>
      <c r="G552" s="5">
        <v>1</v>
      </c>
      <c r="H552" s="5" t="s">
        <v>106</v>
      </c>
      <c r="I552" s="5" t="s">
        <v>107</v>
      </c>
      <c r="J552" s="5">
        <v>1330495200</v>
      </c>
      <c r="K552" s="5">
        <v>1332306000</v>
      </c>
      <c r="L552" s="5" t="b">
        <v>0</v>
      </c>
      <c r="M552" s="5" t="b">
        <v>0</v>
      </c>
      <c r="N552" s="5" t="s">
        <v>68</v>
      </c>
      <c r="O552" s="8">
        <f t="shared" si="515"/>
        <v>0.04</v>
      </c>
      <c r="P552" s="9">
        <f t="shared" si="505"/>
        <v>4</v>
      </c>
      <c r="Q552" s="5" t="str" cm="1">
        <f t="array" ref="Q552:R552">_xlfn.TEXTSPLIT(N552,"/")</f>
        <v>music</v>
      </c>
      <c r="R552" t="str">
        <v>indie rock</v>
      </c>
      <c r="S552" s="10">
        <f t="shared" ref="S552:T552" si="556">(((J552/60)/60)/24)+DATE(1970,1,1)</f>
        <v>40968.25</v>
      </c>
      <c r="T552" s="10">
        <f t="shared" si="556"/>
        <v>40989.208333333336</v>
      </c>
    </row>
    <row r="553" spans="1:20" ht="15.75" customHeight="1" x14ac:dyDescent="0.25">
      <c r="A553" s="5">
        <v>551</v>
      </c>
      <c r="B553" s="6" t="s">
        <v>1155</v>
      </c>
      <c r="C553" s="7" t="s">
        <v>1156</v>
      </c>
      <c r="D553" s="5">
        <v>180100</v>
      </c>
      <c r="E553" s="5">
        <v>105598</v>
      </c>
      <c r="F553" s="5" t="s">
        <v>22</v>
      </c>
      <c r="G553" s="5">
        <v>2779</v>
      </c>
      <c r="H553" s="5" t="s">
        <v>34</v>
      </c>
      <c r="I553" s="5" t="s">
        <v>35</v>
      </c>
      <c r="J553" s="5">
        <v>1419055200</v>
      </c>
      <c r="K553" s="5">
        <v>1422511200</v>
      </c>
      <c r="L553" s="5" t="b">
        <v>0</v>
      </c>
      <c r="M553" s="5" t="b">
        <v>1</v>
      </c>
      <c r="N553" s="5" t="s">
        <v>36</v>
      </c>
      <c r="O553" s="8">
        <f t="shared" si="515"/>
        <v>0.58632981676846196</v>
      </c>
      <c r="P553" s="9">
        <f t="shared" si="505"/>
        <v>37.99856063332134</v>
      </c>
      <c r="Q553" s="5" t="str" cm="1">
        <f t="array" ref="Q553:R553">_xlfn.TEXTSPLIT(N553,"/")</f>
        <v>technology</v>
      </c>
      <c r="R553" t="str">
        <v>web</v>
      </c>
      <c r="S553" s="10">
        <f t="shared" ref="S553:T553" si="557">(((J553/60)/60)/24)+DATE(1970,1,1)</f>
        <v>41993.25</v>
      </c>
      <c r="T553" s="10">
        <f t="shared" si="557"/>
        <v>42033.25</v>
      </c>
    </row>
    <row r="554" spans="1:20" ht="15.75" customHeight="1" x14ac:dyDescent="0.25">
      <c r="A554" s="5">
        <v>552</v>
      </c>
      <c r="B554" s="6" t="s">
        <v>1157</v>
      </c>
      <c r="C554" s="7" t="s">
        <v>1158</v>
      </c>
      <c r="D554" s="5">
        <v>9000</v>
      </c>
      <c r="E554" s="5">
        <v>8866</v>
      </c>
      <c r="F554" s="5" t="s">
        <v>22</v>
      </c>
      <c r="G554" s="5">
        <v>92</v>
      </c>
      <c r="H554" s="5" t="s">
        <v>29</v>
      </c>
      <c r="I554" s="5" t="s">
        <v>30</v>
      </c>
      <c r="J554" s="5">
        <v>1480140000</v>
      </c>
      <c r="K554" s="5">
        <v>1480312800</v>
      </c>
      <c r="L554" s="5" t="b">
        <v>0</v>
      </c>
      <c r="M554" s="5" t="b">
        <v>0</v>
      </c>
      <c r="N554" s="5" t="s">
        <v>41</v>
      </c>
      <c r="O554" s="8">
        <f t="shared" si="515"/>
        <v>0.98511111111111116</v>
      </c>
      <c r="P554" s="9">
        <f t="shared" si="505"/>
        <v>96.369565217391298</v>
      </c>
      <c r="Q554" s="5" t="str" cm="1">
        <f t="array" ref="Q554:R554">_xlfn.TEXTSPLIT(N554,"/")</f>
        <v>theater</v>
      </c>
      <c r="R554" t="str">
        <v>plays</v>
      </c>
      <c r="S554" s="10">
        <f t="shared" ref="S554:T554" si="558">(((J554/60)/60)/24)+DATE(1970,1,1)</f>
        <v>42700.25</v>
      </c>
      <c r="T554" s="10">
        <f t="shared" si="558"/>
        <v>42702.25</v>
      </c>
    </row>
    <row r="555" spans="1:20" ht="15.75" customHeight="1" x14ac:dyDescent="0.25">
      <c r="A555" s="5">
        <v>553</v>
      </c>
      <c r="B555" s="6" t="s">
        <v>1159</v>
      </c>
      <c r="C555" s="7" t="s">
        <v>1160</v>
      </c>
      <c r="D555" s="5">
        <v>170600</v>
      </c>
      <c r="E555" s="5">
        <v>75022</v>
      </c>
      <c r="F555" s="5" t="s">
        <v>22</v>
      </c>
      <c r="G555" s="5">
        <v>1028</v>
      </c>
      <c r="H555" s="5" t="s">
        <v>29</v>
      </c>
      <c r="I555" s="5" t="s">
        <v>30</v>
      </c>
      <c r="J555" s="5">
        <v>1293948000</v>
      </c>
      <c r="K555" s="5">
        <v>1294034400</v>
      </c>
      <c r="L555" s="5" t="b">
        <v>0</v>
      </c>
      <c r="M555" s="5" t="b">
        <v>0</v>
      </c>
      <c r="N555" s="5" t="s">
        <v>31</v>
      </c>
      <c r="O555" s="8">
        <f t="shared" si="515"/>
        <v>0.43975381008206332</v>
      </c>
      <c r="P555" s="9">
        <f t="shared" si="505"/>
        <v>72.978599221789878</v>
      </c>
      <c r="Q555" s="5" t="str" cm="1">
        <f t="array" ref="Q555:R555">_xlfn.TEXTSPLIT(N555,"/")</f>
        <v>music</v>
      </c>
      <c r="R555" t="str">
        <v>rock</v>
      </c>
      <c r="S555" s="10">
        <f t="shared" ref="S555:T555" si="559">(((J555/60)/60)/24)+DATE(1970,1,1)</f>
        <v>40545.25</v>
      </c>
      <c r="T555" s="10">
        <f t="shared" si="559"/>
        <v>40546.25</v>
      </c>
    </row>
    <row r="556" spans="1:20" ht="15.75" customHeight="1" x14ac:dyDescent="0.25">
      <c r="A556" s="5">
        <v>554</v>
      </c>
      <c r="B556" s="6" t="s">
        <v>1161</v>
      </c>
      <c r="C556" s="7" t="s">
        <v>1162</v>
      </c>
      <c r="D556" s="5">
        <v>9500</v>
      </c>
      <c r="E556" s="5">
        <v>14408</v>
      </c>
      <c r="F556" s="5" t="s">
        <v>28</v>
      </c>
      <c r="G556" s="5">
        <v>554</v>
      </c>
      <c r="H556" s="5" t="s">
        <v>23</v>
      </c>
      <c r="I556" s="5" t="s">
        <v>24</v>
      </c>
      <c r="J556" s="5">
        <v>1482127200</v>
      </c>
      <c r="K556" s="5">
        <v>1482645600</v>
      </c>
      <c r="L556" s="5" t="b">
        <v>0</v>
      </c>
      <c r="M556" s="5" t="b">
        <v>0</v>
      </c>
      <c r="N556" s="5" t="s">
        <v>68</v>
      </c>
      <c r="O556" s="8">
        <f t="shared" si="515"/>
        <v>1.5166315789473683</v>
      </c>
      <c r="P556" s="9">
        <f t="shared" si="505"/>
        <v>26.007220216606498</v>
      </c>
      <c r="Q556" s="5" t="str" cm="1">
        <f t="array" ref="Q556:R556">_xlfn.TEXTSPLIT(N556,"/")</f>
        <v>music</v>
      </c>
      <c r="R556" t="str">
        <v>indie rock</v>
      </c>
      <c r="S556" s="10">
        <f t="shared" ref="S556:T556" si="560">(((J556/60)/60)/24)+DATE(1970,1,1)</f>
        <v>42723.25</v>
      </c>
      <c r="T556" s="10">
        <f t="shared" si="560"/>
        <v>42729.25</v>
      </c>
    </row>
    <row r="557" spans="1:20" ht="15.75" customHeight="1" x14ac:dyDescent="0.25">
      <c r="A557" s="5">
        <v>555</v>
      </c>
      <c r="B557" s="6" t="s">
        <v>1163</v>
      </c>
      <c r="C557" s="7" t="s">
        <v>1164</v>
      </c>
      <c r="D557" s="5">
        <v>6300</v>
      </c>
      <c r="E557" s="5">
        <v>14089</v>
      </c>
      <c r="F557" s="5" t="s">
        <v>28</v>
      </c>
      <c r="G557" s="5">
        <v>135</v>
      </c>
      <c r="H557" s="5" t="s">
        <v>44</v>
      </c>
      <c r="I557" s="5" t="s">
        <v>45</v>
      </c>
      <c r="J557" s="5">
        <v>1396414800</v>
      </c>
      <c r="K557" s="5">
        <v>1399093200</v>
      </c>
      <c r="L557" s="5" t="b">
        <v>0</v>
      </c>
      <c r="M557" s="5" t="b">
        <v>0</v>
      </c>
      <c r="N557" s="5" t="s">
        <v>31</v>
      </c>
      <c r="O557" s="8">
        <f t="shared" si="515"/>
        <v>2.2363492063492063</v>
      </c>
      <c r="P557" s="9">
        <f t="shared" si="505"/>
        <v>104.36296296296297</v>
      </c>
      <c r="Q557" s="5" t="str" cm="1">
        <f t="array" ref="Q557:R557">_xlfn.TEXTSPLIT(N557,"/")</f>
        <v>music</v>
      </c>
      <c r="R557" t="str">
        <v>rock</v>
      </c>
      <c r="S557" s="10">
        <f t="shared" ref="S557:T557" si="561">(((J557/60)/60)/24)+DATE(1970,1,1)</f>
        <v>41731.208333333336</v>
      </c>
      <c r="T557" s="10">
        <f t="shared" si="561"/>
        <v>41762.208333333336</v>
      </c>
    </row>
    <row r="558" spans="1:20" ht="15.75" customHeight="1" x14ac:dyDescent="0.25">
      <c r="A558" s="5">
        <v>556</v>
      </c>
      <c r="B558" s="6" t="s">
        <v>450</v>
      </c>
      <c r="C558" s="7" t="s">
        <v>1165</v>
      </c>
      <c r="D558" s="5">
        <v>5200</v>
      </c>
      <c r="E558" s="5">
        <v>12467</v>
      </c>
      <c r="F558" s="5" t="s">
        <v>28</v>
      </c>
      <c r="G558" s="5">
        <v>122</v>
      </c>
      <c r="H558" s="5" t="s">
        <v>29</v>
      </c>
      <c r="I558" s="5" t="s">
        <v>30</v>
      </c>
      <c r="J558" s="5">
        <v>1315285200</v>
      </c>
      <c r="K558" s="5">
        <v>1315890000</v>
      </c>
      <c r="L558" s="5" t="b">
        <v>0</v>
      </c>
      <c r="M558" s="5" t="b">
        <v>1</v>
      </c>
      <c r="N558" s="5" t="s">
        <v>214</v>
      </c>
      <c r="O558" s="8">
        <f t="shared" si="515"/>
        <v>2.3975</v>
      </c>
      <c r="P558" s="9">
        <f t="shared" si="505"/>
        <v>102.18852459016394</v>
      </c>
      <c r="Q558" s="5" t="str" cm="1">
        <f t="array" ref="Q558:R558">_xlfn.TEXTSPLIT(N558,"/")</f>
        <v>publishing</v>
      </c>
      <c r="R558" t="str">
        <v>translations</v>
      </c>
      <c r="S558" s="10">
        <f t="shared" ref="S558:T558" si="562">(((J558/60)/60)/24)+DATE(1970,1,1)</f>
        <v>40792.208333333336</v>
      </c>
      <c r="T558" s="10">
        <f t="shared" si="562"/>
        <v>40799.208333333336</v>
      </c>
    </row>
    <row r="559" spans="1:20" ht="15.75" customHeight="1" x14ac:dyDescent="0.25">
      <c r="A559" s="5">
        <v>557</v>
      </c>
      <c r="B559" s="6" t="s">
        <v>1166</v>
      </c>
      <c r="C559" s="7" t="s">
        <v>1167</v>
      </c>
      <c r="D559" s="5">
        <v>6000</v>
      </c>
      <c r="E559" s="5">
        <v>11960</v>
      </c>
      <c r="F559" s="5" t="s">
        <v>28</v>
      </c>
      <c r="G559" s="5">
        <v>221</v>
      </c>
      <c r="H559" s="5" t="s">
        <v>29</v>
      </c>
      <c r="I559" s="5" t="s">
        <v>30</v>
      </c>
      <c r="J559" s="5">
        <v>1443762000</v>
      </c>
      <c r="K559" s="5">
        <v>1444021200</v>
      </c>
      <c r="L559" s="5" t="b">
        <v>0</v>
      </c>
      <c r="M559" s="5" t="b">
        <v>1</v>
      </c>
      <c r="N559" s="5" t="s">
        <v>482</v>
      </c>
      <c r="O559" s="8">
        <f t="shared" si="515"/>
        <v>1.9933333333333334</v>
      </c>
      <c r="P559" s="9">
        <f t="shared" si="505"/>
        <v>54.117647058823529</v>
      </c>
      <c r="Q559" s="5" t="str" cm="1">
        <f t="array" ref="Q559:R559">_xlfn.TEXTSPLIT(N559,"/")</f>
        <v>film &amp; video</v>
      </c>
      <c r="R559" t="str">
        <v>science fiction</v>
      </c>
      <c r="S559" s="10">
        <f t="shared" ref="S559:T559" si="563">(((J559/60)/60)/24)+DATE(1970,1,1)</f>
        <v>42279.208333333328</v>
      </c>
      <c r="T559" s="10">
        <f t="shared" si="563"/>
        <v>42282.208333333328</v>
      </c>
    </row>
    <row r="560" spans="1:20" ht="15.75" customHeight="1" x14ac:dyDescent="0.25">
      <c r="A560" s="5">
        <v>558</v>
      </c>
      <c r="B560" s="6" t="s">
        <v>1168</v>
      </c>
      <c r="C560" s="7" t="s">
        <v>1169</v>
      </c>
      <c r="D560" s="5">
        <v>5800</v>
      </c>
      <c r="E560" s="5">
        <v>7966</v>
      </c>
      <c r="F560" s="5" t="s">
        <v>28</v>
      </c>
      <c r="G560" s="5">
        <v>126</v>
      </c>
      <c r="H560" s="5" t="s">
        <v>29</v>
      </c>
      <c r="I560" s="5" t="s">
        <v>30</v>
      </c>
      <c r="J560" s="5">
        <v>1456293600</v>
      </c>
      <c r="K560" s="5">
        <v>1460005200</v>
      </c>
      <c r="L560" s="5" t="b">
        <v>0</v>
      </c>
      <c r="M560" s="5" t="b">
        <v>0</v>
      </c>
      <c r="N560" s="5" t="s">
        <v>41</v>
      </c>
      <c r="O560" s="8">
        <f t="shared" si="515"/>
        <v>1.373448275862069</v>
      </c>
      <c r="P560" s="9">
        <f t="shared" si="505"/>
        <v>63.222222222222221</v>
      </c>
      <c r="Q560" s="5" t="str" cm="1">
        <f t="array" ref="Q560:R560">_xlfn.TEXTSPLIT(N560,"/")</f>
        <v>theater</v>
      </c>
      <c r="R560" t="str">
        <v>plays</v>
      </c>
      <c r="S560" s="10">
        <f t="shared" ref="S560:T560" si="564">(((J560/60)/60)/24)+DATE(1970,1,1)</f>
        <v>42424.25</v>
      </c>
      <c r="T560" s="10">
        <f t="shared" si="564"/>
        <v>42467.208333333328</v>
      </c>
    </row>
    <row r="561" spans="1:20" ht="15.75" customHeight="1" x14ac:dyDescent="0.25">
      <c r="A561" s="5">
        <v>559</v>
      </c>
      <c r="B561" s="6" t="s">
        <v>1170</v>
      </c>
      <c r="C561" s="7" t="s">
        <v>1171</v>
      </c>
      <c r="D561" s="5">
        <v>105300</v>
      </c>
      <c r="E561" s="5">
        <v>106321</v>
      </c>
      <c r="F561" s="5" t="s">
        <v>28</v>
      </c>
      <c r="G561" s="5">
        <v>1022</v>
      </c>
      <c r="H561" s="5" t="s">
        <v>29</v>
      </c>
      <c r="I561" s="5" t="s">
        <v>30</v>
      </c>
      <c r="J561" s="5">
        <v>1470114000</v>
      </c>
      <c r="K561" s="5">
        <v>1470718800</v>
      </c>
      <c r="L561" s="5" t="b">
        <v>0</v>
      </c>
      <c r="M561" s="5" t="b">
        <v>0</v>
      </c>
      <c r="N561" s="5" t="s">
        <v>41</v>
      </c>
      <c r="O561" s="8">
        <f t="shared" si="515"/>
        <v>1.009696106362773</v>
      </c>
      <c r="P561" s="9">
        <f t="shared" si="505"/>
        <v>104.03228962818004</v>
      </c>
      <c r="Q561" s="5" t="str" cm="1">
        <f t="array" ref="Q561:R561">_xlfn.TEXTSPLIT(N561,"/")</f>
        <v>theater</v>
      </c>
      <c r="R561" t="str">
        <v>plays</v>
      </c>
      <c r="S561" s="10">
        <f t="shared" ref="S561:T561" si="565">(((J561/60)/60)/24)+DATE(1970,1,1)</f>
        <v>42584.208333333328</v>
      </c>
      <c r="T561" s="10">
        <f t="shared" si="565"/>
        <v>42591.208333333328</v>
      </c>
    </row>
    <row r="562" spans="1:20" ht="15.75" customHeight="1" x14ac:dyDescent="0.25">
      <c r="A562" s="5">
        <v>560</v>
      </c>
      <c r="B562" s="6" t="s">
        <v>1172</v>
      </c>
      <c r="C562" s="7" t="s">
        <v>1173</v>
      </c>
      <c r="D562" s="5">
        <v>20000</v>
      </c>
      <c r="E562" s="5">
        <v>158832</v>
      </c>
      <c r="F562" s="5" t="s">
        <v>28</v>
      </c>
      <c r="G562" s="5">
        <v>3177</v>
      </c>
      <c r="H562" s="5" t="s">
        <v>29</v>
      </c>
      <c r="I562" s="5" t="s">
        <v>30</v>
      </c>
      <c r="J562" s="5">
        <v>1321596000</v>
      </c>
      <c r="K562" s="5">
        <v>1325052000</v>
      </c>
      <c r="L562" s="5" t="b">
        <v>0</v>
      </c>
      <c r="M562" s="5" t="b">
        <v>0</v>
      </c>
      <c r="N562" s="5" t="s">
        <v>79</v>
      </c>
      <c r="O562" s="8">
        <f t="shared" si="515"/>
        <v>7.9416000000000002</v>
      </c>
      <c r="P562" s="9">
        <f t="shared" si="505"/>
        <v>49.994334277620396</v>
      </c>
      <c r="Q562" s="5" t="str" cm="1">
        <f t="array" ref="Q562:R562">_xlfn.TEXTSPLIT(N562,"/")</f>
        <v>film &amp; video</v>
      </c>
      <c r="R562" t="str">
        <v>animation</v>
      </c>
      <c r="S562" s="10">
        <f t="shared" ref="S562:T562" si="566">(((J562/60)/60)/24)+DATE(1970,1,1)</f>
        <v>40865.25</v>
      </c>
      <c r="T562" s="10">
        <f t="shared" si="566"/>
        <v>40905.25</v>
      </c>
    </row>
    <row r="563" spans="1:20" ht="15.75" customHeight="1" x14ac:dyDescent="0.25">
      <c r="A563" s="5">
        <v>561</v>
      </c>
      <c r="B563" s="6" t="s">
        <v>1174</v>
      </c>
      <c r="C563" s="7" t="s">
        <v>1175</v>
      </c>
      <c r="D563" s="5">
        <v>3000</v>
      </c>
      <c r="E563" s="5">
        <v>11091</v>
      </c>
      <c r="F563" s="5" t="s">
        <v>28</v>
      </c>
      <c r="G563" s="5">
        <v>198</v>
      </c>
      <c r="H563" s="5" t="s">
        <v>106</v>
      </c>
      <c r="I563" s="5" t="s">
        <v>107</v>
      </c>
      <c r="J563" s="5">
        <v>1318827600</v>
      </c>
      <c r="K563" s="5">
        <v>1319000400</v>
      </c>
      <c r="L563" s="5" t="b">
        <v>0</v>
      </c>
      <c r="M563" s="5" t="b">
        <v>0</v>
      </c>
      <c r="N563" s="5" t="s">
        <v>41</v>
      </c>
      <c r="O563" s="8">
        <f t="shared" si="515"/>
        <v>3.6970000000000001</v>
      </c>
      <c r="P563" s="9">
        <f t="shared" si="505"/>
        <v>56.015151515151516</v>
      </c>
      <c r="Q563" s="5" t="str" cm="1">
        <f t="array" ref="Q563:R563">_xlfn.TEXTSPLIT(N563,"/")</f>
        <v>theater</v>
      </c>
      <c r="R563" t="str">
        <v>plays</v>
      </c>
      <c r="S563" s="10">
        <f t="shared" ref="S563:T563" si="567">(((J563/60)/60)/24)+DATE(1970,1,1)</f>
        <v>40833.208333333336</v>
      </c>
      <c r="T563" s="10">
        <f t="shared" si="567"/>
        <v>40835.208333333336</v>
      </c>
    </row>
    <row r="564" spans="1:20" ht="15.75" customHeight="1" x14ac:dyDescent="0.25">
      <c r="A564" s="5">
        <v>562</v>
      </c>
      <c r="B564" s="6" t="s">
        <v>1176</v>
      </c>
      <c r="C564" s="7" t="s">
        <v>1177</v>
      </c>
      <c r="D564" s="5">
        <v>9900</v>
      </c>
      <c r="E564" s="5">
        <v>1269</v>
      </c>
      <c r="F564" s="5" t="s">
        <v>22</v>
      </c>
      <c r="G564" s="5">
        <v>26</v>
      </c>
      <c r="H564" s="5" t="s">
        <v>106</v>
      </c>
      <c r="I564" s="5" t="s">
        <v>107</v>
      </c>
      <c r="J564" s="5">
        <v>1552366800</v>
      </c>
      <c r="K564" s="5">
        <v>1552539600</v>
      </c>
      <c r="L564" s="5" t="b">
        <v>0</v>
      </c>
      <c r="M564" s="5" t="b">
        <v>0</v>
      </c>
      <c r="N564" s="5" t="s">
        <v>31</v>
      </c>
      <c r="O564" s="8">
        <f t="shared" si="515"/>
        <v>0.12818181818181817</v>
      </c>
      <c r="P564" s="9">
        <f t="shared" si="505"/>
        <v>48.807692307692307</v>
      </c>
      <c r="Q564" s="5" t="str" cm="1">
        <f t="array" ref="Q564:R564">_xlfn.TEXTSPLIT(N564,"/")</f>
        <v>music</v>
      </c>
      <c r="R564" t="str">
        <v>rock</v>
      </c>
      <c r="S564" s="10">
        <f t="shared" ref="S564:T564" si="568">(((J564/60)/60)/24)+DATE(1970,1,1)</f>
        <v>43536.208333333328</v>
      </c>
      <c r="T564" s="10">
        <f t="shared" si="568"/>
        <v>43538.208333333328</v>
      </c>
    </row>
    <row r="565" spans="1:20" ht="15.75" customHeight="1" x14ac:dyDescent="0.25">
      <c r="A565" s="5">
        <v>563</v>
      </c>
      <c r="B565" s="6" t="s">
        <v>1178</v>
      </c>
      <c r="C565" s="7" t="s">
        <v>1179</v>
      </c>
      <c r="D565" s="5">
        <v>3700</v>
      </c>
      <c r="E565" s="5">
        <v>5107</v>
      </c>
      <c r="F565" s="5" t="s">
        <v>28</v>
      </c>
      <c r="G565" s="5">
        <v>85</v>
      </c>
      <c r="H565" s="5" t="s">
        <v>34</v>
      </c>
      <c r="I565" s="5" t="s">
        <v>35</v>
      </c>
      <c r="J565" s="5">
        <v>1542088800</v>
      </c>
      <c r="K565" s="5">
        <v>1543816800</v>
      </c>
      <c r="L565" s="5" t="b">
        <v>0</v>
      </c>
      <c r="M565" s="5" t="b">
        <v>0</v>
      </c>
      <c r="N565" s="5" t="s">
        <v>50</v>
      </c>
      <c r="O565" s="8">
        <f t="shared" si="515"/>
        <v>1.3802702702702703</v>
      </c>
      <c r="P565" s="9">
        <f t="shared" si="505"/>
        <v>60.082352941176474</v>
      </c>
      <c r="Q565" s="5" t="str" cm="1">
        <f t="array" ref="Q565:R565">_xlfn.TEXTSPLIT(N565,"/")</f>
        <v>film &amp; video</v>
      </c>
      <c r="R565" t="str">
        <v>documentary</v>
      </c>
      <c r="S565" s="10">
        <f t="shared" ref="S565:T565" si="569">(((J565/60)/60)/24)+DATE(1970,1,1)</f>
        <v>43417.25</v>
      </c>
      <c r="T565" s="10">
        <f t="shared" si="569"/>
        <v>43437.25</v>
      </c>
    </row>
    <row r="566" spans="1:20" ht="15.75" customHeight="1" x14ac:dyDescent="0.25">
      <c r="A566" s="5">
        <v>564</v>
      </c>
      <c r="B566" s="6" t="s">
        <v>1180</v>
      </c>
      <c r="C566" s="7" t="s">
        <v>1181</v>
      </c>
      <c r="D566" s="5">
        <v>168700</v>
      </c>
      <c r="E566" s="5">
        <v>141393</v>
      </c>
      <c r="F566" s="5" t="s">
        <v>22</v>
      </c>
      <c r="G566" s="5">
        <v>1790</v>
      </c>
      <c r="H566" s="5" t="s">
        <v>29</v>
      </c>
      <c r="I566" s="5" t="s">
        <v>30</v>
      </c>
      <c r="J566" s="5">
        <v>1426395600</v>
      </c>
      <c r="K566" s="5">
        <v>1427086800</v>
      </c>
      <c r="L566" s="5" t="b">
        <v>0</v>
      </c>
      <c r="M566" s="5" t="b">
        <v>0</v>
      </c>
      <c r="N566" s="5" t="s">
        <v>41</v>
      </c>
      <c r="O566" s="8">
        <f t="shared" si="515"/>
        <v>0.83813278008298753</v>
      </c>
      <c r="P566" s="9">
        <f t="shared" si="505"/>
        <v>78.990502793296088</v>
      </c>
      <c r="Q566" s="5" t="str" cm="1">
        <f t="array" ref="Q566:R566">_xlfn.TEXTSPLIT(N566,"/")</f>
        <v>theater</v>
      </c>
      <c r="R566" t="str">
        <v>plays</v>
      </c>
      <c r="S566" s="10">
        <f t="shared" ref="S566:T566" si="570">(((J566/60)/60)/24)+DATE(1970,1,1)</f>
        <v>42078.208333333328</v>
      </c>
      <c r="T566" s="10">
        <f t="shared" si="570"/>
        <v>42086.208333333328</v>
      </c>
    </row>
    <row r="567" spans="1:20" ht="15.75" customHeight="1" x14ac:dyDescent="0.25">
      <c r="A567" s="5">
        <v>565</v>
      </c>
      <c r="B567" s="6" t="s">
        <v>1182</v>
      </c>
      <c r="C567" s="7" t="s">
        <v>1183</v>
      </c>
      <c r="D567" s="5">
        <v>94900</v>
      </c>
      <c r="E567" s="5">
        <v>194166</v>
      </c>
      <c r="F567" s="5" t="s">
        <v>28</v>
      </c>
      <c r="G567" s="5">
        <v>3596</v>
      </c>
      <c r="H567" s="5" t="s">
        <v>29</v>
      </c>
      <c r="I567" s="5" t="s">
        <v>30</v>
      </c>
      <c r="J567" s="5">
        <v>1321336800</v>
      </c>
      <c r="K567" s="5">
        <v>1323064800</v>
      </c>
      <c r="L567" s="5" t="b">
        <v>0</v>
      </c>
      <c r="M567" s="5" t="b">
        <v>0</v>
      </c>
      <c r="N567" s="5" t="s">
        <v>41</v>
      </c>
      <c r="O567" s="8">
        <f t="shared" si="515"/>
        <v>2.0460063224446787</v>
      </c>
      <c r="P567" s="9">
        <f t="shared" si="505"/>
        <v>53.99499443826474</v>
      </c>
      <c r="Q567" s="5" t="str" cm="1">
        <f t="array" ref="Q567:R567">_xlfn.TEXTSPLIT(N567,"/")</f>
        <v>theater</v>
      </c>
      <c r="R567" t="str">
        <v>plays</v>
      </c>
      <c r="S567" s="10">
        <f t="shared" ref="S567:T567" si="571">(((J567/60)/60)/24)+DATE(1970,1,1)</f>
        <v>40862.25</v>
      </c>
      <c r="T567" s="10">
        <f t="shared" si="571"/>
        <v>40882.25</v>
      </c>
    </row>
    <row r="568" spans="1:20" ht="15.75" customHeight="1" x14ac:dyDescent="0.25">
      <c r="A568" s="5">
        <v>566</v>
      </c>
      <c r="B568" s="6" t="s">
        <v>1184</v>
      </c>
      <c r="C568" s="7" t="s">
        <v>1185</v>
      </c>
      <c r="D568" s="5">
        <v>9300</v>
      </c>
      <c r="E568" s="5">
        <v>4124</v>
      </c>
      <c r="F568" s="5" t="s">
        <v>22</v>
      </c>
      <c r="G568" s="5">
        <v>37</v>
      </c>
      <c r="H568" s="5" t="s">
        <v>29</v>
      </c>
      <c r="I568" s="5" t="s">
        <v>30</v>
      </c>
      <c r="J568" s="5">
        <v>1456293600</v>
      </c>
      <c r="K568" s="5">
        <v>1458277200</v>
      </c>
      <c r="L568" s="5" t="b">
        <v>0</v>
      </c>
      <c r="M568" s="5" t="b">
        <v>1</v>
      </c>
      <c r="N568" s="5" t="s">
        <v>58</v>
      </c>
      <c r="O568" s="8">
        <f t="shared" si="515"/>
        <v>0.44344086021505374</v>
      </c>
      <c r="P568" s="9">
        <f t="shared" si="505"/>
        <v>111.45945945945945</v>
      </c>
      <c r="Q568" s="5" t="str" cm="1">
        <f t="array" ref="Q568:R568">_xlfn.TEXTSPLIT(N568,"/")</f>
        <v>music</v>
      </c>
      <c r="R568" t="str">
        <v>electric music</v>
      </c>
      <c r="S568" s="10">
        <f t="shared" ref="S568:T568" si="572">(((J568/60)/60)/24)+DATE(1970,1,1)</f>
        <v>42424.25</v>
      </c>
      <c r="T568" s="10">
        <f t="shared" si="572"/>
        <v>42447.208333333328</v>
      </c>
    </row>
    <row r="569" spans="1:20" ht="15.75" customHeight="1" x14ac:dyDescent="0.25">
      <c r="A569" s="5">
        <v>567</v>
      </c>
      <c r="B569" s="6" t="s">
        <v>1186</v>
      </c>
      <c r="C569" s="7" t="s">
        <v>1187</v>
      </c>
      <c r="D569" s="5">
        <v>6800</v>
      </c>
      <c r="E569" s="5">
        <v>14865</v>
      </c>
      <c r="F569" s="5" t="s">
        <v>28</v>
      </c>
      <c r="G569" s="5">
        <v>244</v>
      </c>
      <c r="H569" s="5" t="s">
        <v>29</v>
      </c>
      <c r="I569" s="5" t="s">
        <v>30</v>
      </c>
      <c r="J569" s="5">
        <v>1404968400</v>
      </c>
      <c r="K569" s="5">
        <v>1405141200</v>
      </c>
      <c r="L569" s="5" t="b">
        <v>0</v>
      </c>
      <c r="M569" s="5" t="b">
        <v>0</v>
      </c>
      <c r="N569" s="5" t="s">
        <v>31</v>
      </c>
      <c r="O569" s="8">
        <f t="shared" si="515"/>
        <v>2.1860294117647059</v>
      </c>
      <c r="P569" s="9">
        <f t="shared" si="505"/>
        <v>60.922131147540981</v>
      </c>
      <c r="Q569" s="5" t="str" cm="1">
        <f t="array" ref="Q569:R569">_xlfn.TEXTSPLIT(N569,"/")</f>
        <v>music</v>
      </c>
      <c r="R569" t="str">
        <v>rock</v>
      </c>
      <c r="S569" s="10">
        <f t="shared" ref="S569:T569" si="573">(((J569/60)/60)/24)+DATE(1970,1,1)</f>
        <v>41830.208333333336</v>
      </c>
      <c r="T569" s="10">
        <f t="shared" si="573"/>
        <v>41832.208333333336</v>
      </c>
    </row>
    <row r="570" spans="1:20" ht="15.75" customHeight="1" x14ac:dyDescent="0.25">
      <c r="A570" s="5">
        <v>568</v>
      </c>
      <c r="B570" s="6" t="s">
        <v>1188</v>
      </c>
      <c r="C570" s="7" t="s">
        <v>1189</v>
      </c>
      <c r="D570" s="5">
        <v>72400</v>
      </c>
      <c r="E570" s="5">
        <v>134688</v>
      </c>
      <c r="F570" s="5" t="s">
        <v>28</v>
      </c>
      <c r="G570" s="5">
        <v>5180</v>
      </c>
      <c r="H570" s="5" t="s">
        <v>29</v>
      </c>
      <c r="I570" s="5" t="s">
        <v>30</v>
      </c>
      <c r="J570" s="5">
        <v>1279170000</v>
      </c>
      <c r="K570" s="5">
        <v>1283058000</v>
      </c>
      <c r="L570" s="5" t="b">
        <v>0</v>
      </c>
      <c r="M570" s="5" t="b">
        <v>0</v>
      </c>
      <c r="N570" s="5" t="s">
        <v>41</v>
      </c>
      <c r="O570" s="8">
        <f t="shared" si="515"/>
        <v>1.8603314917127072</v>
      </c>
      <c r="P570" s="9">
        <f t="shared" si="505"/>
        <v>26.0015444015444</v>
      </c>
      <c r="Q570" s="5" t="str" cm="1">
        <f t="array" ref="Q570:R570">_xlfn.TEXTSPLIT(N570,"/")</f>
        <v>theater</v>
      </c>
      <c r="R570" t="str">
        <v>plays</v>
      </c>
      <c r="S570" s="10">
        <f t="shared" ref="S570:T570" si="574">(((J570/60)/60)/24)+DATE(1970,1,1)</f>
        <v>40374.208333333336</v>
      </c>
      <c r="T570" s="10">
        <f t="shared" si="574"/>
        <v>40419.208333333336</v>
      </c>
    </row>
    <row r="571" spans="1:20" ht="15.75" customHeight="1" x14ac:dyDescent="0.25">
      <c r="A571" s="5">
        <v>569</v>
      </c>
      <c r="B571" s="6" t="s">
        <v>1190</v>
      </c>
      <c r="C571" s="7" t="s">
        <v>1191</v>
      </c>
      <c r="D571" s="5">
        <v>20100</v>
      </c>
      <c r="E571" s="5">
        <v>47705</v>
      </c>
      <c r="F571" s="5" t="s">
        <v>28</v>
      </c>
      <c r="G571" s="5">
        <v>589</v>
      </c>
      <c r="H571" s="5" t="s">
        <v>115</v>
      </c>
      <c r="I571" s="5" t="s">
        <v>116</v>
      </c>
      <c r="J571" s="5">
        <v>1294725600</v>
      </c>
      <c r="K571" s="5">
        <v>1295762400</v>
      </c>
      <c r="L571" s="5" t="b">
        <v>0</v>
      </c>
      <c r="M571" s="5" t="b">
        <v>0</v>
      </c>
      <c r="N571" s="5" t="s">
        <v>79</v>
      </c>
      <c r="O571" s="8">
        <f t="shared" si="515"/>
        <v>2.3733830845771142</v>
      </c>
      <c r="P571" s="9">
        <f t="shared" si="505"/>
        <v>80.993208828522924</v>
      </c>
      <c r="Q571" s="5" t="str" cm="1">
        <f t="array" ref="Q571:R571">_xlfn.TEXTSPLIT(N571,"/")</f>
        <v>film &amp; video</v>
      </c>
      <c r="R571" t="str">
        <v>animation</v>
      </c>
      <c r="S571" s="10">
        <f t="shared" ref="S571:T571" si="575">(((J571/60)/60)/24)+DATE(1970,1,1)</f>
        <v>40554.25</v>
      </c>
      <c r="T571" s="10">
        <f t="shared" si="575"/>
        <v>40566.25</v>
      </c>
    </row>
    <row r="572" spans="1:20" ht="15.75" customHeight="1" x14ac:dyDescent="0.25">
      <c r="A572" s="5">
        <v>570</v>
      </c>
      <c r="B572" s="6" t="s">
        <v>1192</v>
      </c>
      <c r="C572" s="7" t="s">
        <v>1193</v>
      </c>
      <c r="D572" s="5">
        <v>31200</v>
      </c>
      <c r="E572" s="5">
        <v>95364</v>
      </c>
      <c r="F572" s="5" t="s">
        <v>28</v>
      </c>
      <c r="G572" s="5">
        <v>2725</v>
      </c>
      <c r="H572" s="5" t="s">
        <v>29</v>
      </c>
      <c r="I572" s="5" t="s">
        <v>30</v>
      </c>
      <c r="J572" s="5">
        <v>1419055200</v>
      </c>
      <c r="K572" s="5">
        <v>1419573600</v>
      </c>
      <c r="L572" s="5" t="b">
        <v>0</v>
      </c>
      <c r="M572" s="5" t="b">
        <v>1</v>
      </c>
      <c r="N572" s="5" t="s">
        <v>31</v>
      </c>
      <c r="O572" s="8">
        <f t="shared" si="515"/>
        <v>3.0565384615384614</v>
      </c>
      <c r="P572" s="9">
        <f t="shared" si="505"/>
        <v>34.995963302752294</v>
      </c>
      <c r="Q572" s="5" t="str" cm="1">
        <f t="array" ref="Q572:R572">_xlfn.TEXTSPLIT(N572,"/")</f>
        <v>music</v>
      </c>
      <c r="R572" t="str">
        <v>rock</v>
      </c>
      <c r="S572" s="10">
        <f t="shared" ref="S572:T572" si="576">(((J572/60)/60)/24)+DATE(1970,1,1)</f>
        <v>41993.25</v>
      </c>
      <c r="T572" s="10">
        <f t="shared" si="576"/>
        <v>41999.25</v>
      </c>
    </row>
    <row r="573" spans="1:20" ht="15.75" customHeight="1" x14ac:dyDescent="0.25">
      <c r="A573" s="5">
        <v>571</v>
      </c>
      <c r="B573" s="6" t="s">
        <v>1194</v>
      </c>
      <c r="C573" s="7" t="s">
        <v>1195</v>
      </c>
      <c r="D573" s="5">
        <v>3500</v>
      </c>
      <c r="E573" s="5">
        <v>3295</v>
      </c>
      <c r="F573" s="5" t="s">
        <v>22</v>
      </c>
      <c r="G573" s="5">
        <v>35</v>
      </c>
      <c r="H573" s="5" t="s">
        <v>115</v>
      </c>
      <c r="I573" s="5" t="s">
        <v>116</v>
      </c>
      <c r="J573" s="5">
        <v>1434690000</v>
      </c>
      <c r="K573" s="5">
        <v>1438750800</v>
      </c>
      <c r="L573" s="5" t="b">
        <v>0</v>
      </c>
      <c r="M573" s="5" t="b">
        <v>0</v>
      </c>
      <c r="N573" s="5" t="s">
        <v>108</v>
      </c>
      <c r="O573" s="8">
        <f t="shared" si="515"/>
        <v>0.94142857142857139</v>
      </c>
      <c r="P573" s="9">
        <f t="shared" si="505"/>
        <v>94.142857142857139</v>
      </c>
      <c r="Q573" s="5" t="str" cm="1">
        <f t="array" ref="Q573:R573">_xlfn.TEXTSPLIT(N573,"/")</f>
        <v>film &amp; video</v>
      </c>
      <c r="R573" t="str">
        <v>shorts</v>
      </c>
      <c r="S573" s="10">
        <f t="shared" ref="S573:T573" si="577">(((J573/60)/60)/24)+DATE(1970,1,1)</f>
        <v>42174.208333333328</v>
      </c>
      <c r="T573" s="10">
        <f t="shared" si="577"/>
        <v>42221.208333333328</v>
      </c>
    </row>
    <row r="574" spans="1:20" ht="15.75" customHeight="1" x14ac:dyDescent="0.25">
      <c r="A574" s="5">
        <v>572</v>
      </c>
      <c r="B574" s="6" t="s">
        <v>1196</v>
      </c>
      <c r="C574" s="7" t="s">
        <v>1197</v>
      </c>
      <c r="D574" s="5">
        <v>9000</v>
      </c>
      <c r="E574" s="5">
        <v>4896</v>
      </c>
      <c r="F574" s="5" t="s">
        <v>82</v>
      </c>
      <c r="G574" s="5">
        <v>94</v>
      </c>
      <c r="H574" s="5" t="s">
        <v>29</v>
      </c>
      <c r="I574" s="5" t="s">
        <v>30</v>
      </c>
      <c r="J574" s="5">
        <v>1443416400</v>
      </c>
      <c r="K574" s="5">
        <v>1444798800</v>
      </c>
      <c r="L574" s="5" t="b">
        <v>0</v>
      </c>
      <c r="M574" s="5" t="b">
        <v>1</v>
      </c>
      <c r="N574" s="5" t="s">
        <v>31</v>
      </c>
      <c r="O574" s="8">
        <f t="shared" si="515"/>
        <v>0.54400000000000004</v>
      </c>
      <c r="P574" s="9">
        <f t="shared" si="505"/>
        <v>52.085106382978722</v>
      </c>
      <c r="Q574" s="5" t="str" cm="1">
        <f t="array" ref="Q574:R574">_xlfn.TEXTSPLIT(N574,"/")</f>
        <v>music</v>
      </c>
      <c r="R574" t="str">
        <v>rock</v>
      </c>
      <c r="S574" s="10">
        <f t="shared" ref="S574:T574" si="578">(((J574/60)/60)/24)+DATE(1970,1,1)</f>
        <v>42275.208333333328</v>
      </c>
      <c r="T574" s="10">
        <f t="shared" si="578"/>
        <v>42291.208333333328</v>
      </c>
    </row>
    <row r="575" spans="1:20" ht="15.75" customHeight="1" x14ac:dyDescent="0.25">
      <c r="A575" s="5">
        <v>573</v>
      </c>
      <c r="B575" s="6" t="s">
        <v>1198</v>
      </c>
      <c r="C575" s="7" t="s">
        <v>1199</v>
      </c>
      <c r="D575" s="5">
        <v>6700</v>
      </c>
      <c r="E575" s="5">
        <v>7496</v>
      </c>
      <c r="F575" s="5" t="s">
        <v>28</v>
      </c>
      <c r="G575" s="5">
        <v>300</v>
      </c>
      <c r="H575" s="5" t="s">
        <v>29</v>
      </c>
      <c r="I575" s="5" t="s">
        <v>30</v>
      </c>
      <c r="J575" s="5">
        <v>1399006800</v>
      </c>
      <c r="K575" s="5">
        <v>1399179600</v>
      </c>
      <c r="L575" s="5" t="b">
        <v>0</v>
      </c>
      <c r="M575" s="5" t="b">
        <v>0</v>
      </c>
      <c r="N575" s="5" t="s">
        <v>1037</v>
      </c>
      <c r="O575" s="8">
        <f t="shared" si="515"/>
        <v>1.1188059701492536</v>
      </c>
      <c r="P575" s="9">
        <f t="shared" si="505"/>
        <v>24.986666666666668</v>
      </c>
      <c r="Q575" s="5" t="str" cm="1">
        <f t="array" ref="Q575:R575">_xlfn.TEXTSPLIT(N575,"/")</f>
        <v>journalism</v>
      </c>
      <c r="R575" t="str">
        <v>audio</v>
      </c>
      <c r="S575" s="10">
        <f t="shared" ref="S575:T575" si="579">(((J575/60)/60)/24)+DATE(1970,1,1)</f>
        <v>41761.208333333336</v>
      </c>
      <c r="T575" s="10">
        <f t="shared" si="579"/>
        <v>41763.208333333336</v>
      </c>
    </row>
    <row r="576" spans="1:20" ht="15.75" customHeight="1" x14ac:dyDescent="0.25">
      <c r="A576" s="5">
        <v>574</v>
      </c>
      <c r="B576" s="6" t="s">
        <v>1200</v>
      </c>
      <c r="C576" s="7" t="s">
        <v>1201</v>
      </c>
      <c r="D576" s="5">
        <v>2700</v>
      </c>
      <c r="E576" s="5">
        <v>9967</v>
      </c>
      <c r="F576" s="5" t="s">
        <v>28</v>
      </c>
      <c r="G576" s="5">
        <v>144</v>
      </c>
      <c r="H576" s="5" t="s">
        <v>29</v>
      </c>
      <c r="I576" s="5" t="s">
        <v>30</v>
      </c>
      <c r="J576" s="5">
        <v>1575698400</v>
      </c>
      <c r="K576" s="5">
        <v>1576562400</v>
      </c>
      <c r="L576" s="5" t="b">
        <v>0</v>
      </c>
      <c r="M576" s="5" t="b">
        <v>1</v>
      </c>
      <c r="N576" s="5" t="s">
        <v>25</v>
      </c>
      <c r="O576" s="8">
        <f t="shared" si="515"/>
        <v>3.6914814814814814</v>
      </c>
      <c r="P576" s="9">
        <f t="shared" si="505"/>
        <v>69.215277777777771</v>
      </c>
      <c r="Q576" s="5" t="str" cm="1">
        <f t="array" ref="Q576:R576">_xlfn.TEXTSPLIT(N576,"/")</f>
        <v>food</v>
      </c>
      <c r="R576" t="str">
        <v>food trucks</v>
      </c>
      <c r="S576" s="10">
        <f t="shared" ref="S576:T576" si="580">(((J576/60)/60)/24)+DATE(1970,1,1)</f>
        <v>43806.25</v>
      </c>
      <c r="T576" s="10">
        <f t="shared" si="580"/>
        <v>43816.25</v>
      </c>
    </row>
    <row r="577" spans="1:20" ht="15.75" customHeight="1" x14ac:dyDescent="0.25">
      <c r="A577" s="5">
        <v>575</v>
      </c>
      <c r="B577" s="6" t="s">
        <v>1202</v>
      </c>
      <c r="C577" s="7" t="s">
        <v>1203</v>
      </c>
      <c r="D577" s="5">
        <v>83300</v>
      </c>
      <c r="E577" s="5">
        <v>52421</v>
      </c>
      <c r="F577" s="5" t="s">
        <v>22</v>
      </c>
      <c r="G577" s="5">
        <v>558</v>
      </c>
      <c r="H577" s="5" t="s">
        <v>29</v>
      </c>
      <c r="I577" s="5" t="s">
        <v>30</v>
      </c>
      <c r="J577" s="5">
        <v>1400562000</v>
      </c>
      <c r="K577" s="5">
        <v>1400821200</v>
      </c>
      <c r="L577" s="5" t="b">
        <v>0</v>
      </c>
      <c r="M577" s="5" t="b">
        <v>1</v>
      </c>
      <c r="N577" s="5" t="s">
        <v>41</v>
      </c>
      <c r="O577" s="8">
        <f t="shared" si="515"/>
        <v>0.62930372148859548</v>
      </c>
      <c r="P577" s="9">
        <f t="shared" si="505"/>
        <v>93.944444444444443</v>
      </c>
      <c r="Q577" s="5" t="str" cm="1">
        <f t="array" ref="Q577:R577">_xlfn.TEXTSPLIT(N577,"/")</f>
        <v>theater</v>
      </c>
      <c r="R577" t="str">
        <v>plays</v>
      </c>
      <c r="S577" s="10">
        <f t="shared" ref="S577:T577" si="581">(((J577/60)/60)/24)+DATE(1970,1,1)</f>
        <v>41779.208333333336</v>
      </c>
      <c r="T577" s="10">
        <f t="shared" si="581"/>
        <v>41782.208333333336</v>
      </c>
    </row>
    <row r="578" spans="1:20" ht="15.75" customHeight="1" x14ac:dyDescent="0.25">
      <c r="A578" s="5">
        <v>576</v>
      </c>
      <c r="B578" s="6" t="s">
        <v>1204</v>
      </c>
      <c r="C578" s="7" t="s">
        <v>1205</v>
      </c>
      <c r="D578" s="5">
        <v>9700</v>
      </c>
      <c r="E578" s="5">
        <v>6298</v>
      </c>
      <c r="F578" s="5" t="s">
        <v>22</v>
      </c>
      <c r="G578" s="5">
        <v>64</v>
      </c>
      <c r="H578" s="5" t="s">
        <v>29</v>
      </c>
      <c r="I578" s="5" t="s">
        <v>30</v>
      </c>
      <c r="J578" s="5">
        <v>1509512400</v>
      </c>
      <c r="K578" s="5">
        <v>1510984800</v>
      </c>
      <c r="L578" s="5" t="b">
        <v>0</v>
      </c>
      <c r="M578" s="5" t="b">
        <v>0</v>
      </c>
      <c r="N578" s="5" t="s">
        <v>41</v>
      </c>
      <c r="O578" s="8">
        <f t="shared" si="515"/>
        <v>0.6492783505154639</v>
      </c>
      <c r="P578" s="9">
        <f t="shared" si="505"/>
        <v>98.40625</v>
      </c>
      <c r="Q578" s="5" t="str" cm="1">
        <f t="array" ref="Q578:R578">_xlfn.TEXTSPLIT(N578,"/")</f>
        <v>theater</v>
      </c>
      <c r="R578" t="str">
        <v>plays</v>
      </c>
      <c r="S578" s="10">
        <f t="shared" ref="S578:T578" si="582">(((J578/60)/60)/24)+DATE(1970,1,1)</f>
        <v>43040.208333333328</v>
      </c>
      <c r="T578" s="10">
        <f t="shared" si="582"/>
        <v>43057.25</v>
      </c>
    </row>
    <row r="579" spans="1:20" ht="15.75" customHeight="1" x14ac:dyDescent="0.25">
      <c r="A579" s="5">
        <v>577</v>
      </c>
      <c r="B579" s="6" t="s">
        <v>1206</v>
      </c>
      <c r="C579" s="7" t="s">
        <v>1207</v>
      </c>
      <c r="D579" s="5">
        <v>8200</v>
      </c>
      <c r="E579" s="5">
        <v>1546</v>
      </c>
      <c r="F579" s="5" t="s">
        <v>82</v>
      </c>
      <c r="G579" s="5">
        <v>37</v>
      </c>
      <c r="H579" s="5" t="s">
        <v>29</v>
      </c>
      <c r="I579" s="5" t="s">
        <v>30</v>
      </c>
      <c r="J579" s="5">
        <v>1299823200</v>
      </c>
      <c r="K579" s="5">
        <v>1302066000</v>
      </c>
      <c r="L579" s="5" t="b">
        <v>0</v>
      </c>
      <c r="M579" s="5" t="b">
        <v>0</v>
      </c>
      <c r="N579" s="5" t="s">
        <v>167</v>
      </c>
      <c r="O579" s="8">
        <f t="shared" si="515"/>
        <v>0.18853658536585366</v>
      </c>
      <c r="P579" s="9">
        <f t="shared" si="505"/>
        <v>41.783783783783782</v>
      </c>
      <c r="Q579" s="5" t="str" cm="1">
        <f t="array" ref="Q579:R579">_xlfn.TEXTSPLIT(N579,"/")</f>
        <v>music</v>
      </c>
      <c r="R579" t="str">
        <v>jazz</v>
      </c>
      <c r="S579" s="10">
        <f t="shared" ref="S579:T579" si="583">(((J579/60)/60)/24)+DATE(1970,1,1)</f>
        <v>40613.25</v>
      </c>
      <c r="T579" s="10">
        <f t="shared" si="583"/>
        <v>40639.208333333336</v>
      </c>
    </row>
    <row r="580" spans="1:20" ht="15.75" customHeight="1" x14ac:dyDescent="0.25">
      <c r="A580" s="5">
        <v>578</v>
      </c>
      <c r="B580" s="6" t="s">
        <v>1208</v>
      </c>
      <c r="C580" s="7" t="s">
        <v>1209</v>
      </c>
      <c r="D580" s="5">
        <v>96500</v>
      </c>
      <c r="E580" s="5">
        <v>16168</v>
      </c>
      <c r="F580" s="5" t="s">
        <v>22</v>
      </c>
      <c r="G580" s="5">
        <v>245</v>
      </c>
      <c r="H580" s="5" t="s">
        <v>29</v>
      </c>
      <c r="I580" s="5" t="s">
        <v>30</v>
      </c>
      <c r="J580" s="5">
        <v>1322719200</v>
      </c>
      <c r="K580" s="5">
        <v>1322978400</v>
      </c>
      <c r="L580" s="5" t="b">
        <v>0</v>
      </c>
      <c r="M580" s="5" t="b">
        <v>0</v>
      </c>
      <c r="N580" s="5" t="s">
        <v>482</v>
      </c>
      <c r="O580" s="8">
        <f t="shared" si="515"/>
        <v>0.1675440414507772</v>
      </c>
      <c r="P580" s="9">
        <f t="shared" si="505"/>
        <v>65.991836734693877</v>
      </c>
      <c r="Q580" s="5" t="str" cm="1">
        <f t="array" ref="Q580:R580">_xlfn.TEXTSPLIT(N580,"/")</f>
        <v>film &amp; video</v>
      </c>
      <c r="R580" t="str">
        <v>science fiction</v>
      </c>
      <c r="S580" s="10">
        <f t="shared" ref="S580:T580" si="584">(((J580/60)/60)/24)+DATE(1970,1,1)</f>
        <v>40878.25</v>
      </c>
      <c r="T580" s="10">
        <f t="shared" si="584"/>
        <v>40881.25</v>
      </c>
    </row>
    <row r="581" spans="1:20" ht="15.75" customHeight="1" x14ac:dyDescent="0.25">
      <c r="A581" s="5">
        <v>579</v>
      </c>
      <c r="B581" s="6" t="s">
        <v>1210</v>
      </c>
      <c r="C581" s="7" t="s">
        <v>1211</v>
      </c>
      <c r="D581" s="5">
        <v>6200</v>
      </c>
      <c r="E581" s="5">
        <v>6269</v>
      </c>
      <c r="F581" s="5" t="s">
        <v>28</v>
      </c>
      <c r="G581" s="5">
        <v>87</v>
      </c>
      <c r="H581" s="5" t="s">
        <v>29</v>
      </c>
      <c r="I581" s="5" t="s">
        <v>30</v>
      </c>
      <c r="J581" s="5">
        <v>1312693200</v>
      </c>
      <c r="K581" s="5">
        <v>1313730000</v>
      </c>
      <c r="L581" s="5" t="b">
        <v>0</v>
      </c>
      <c r="M581" s="5" t="b">
        <v>0</v>
      </c>
      <c r="N581" s="5" t="s">
        <v>167</v>
      </c>
      <c r="O581" s="8">
        <f t="shared" si="515"/>
        <v>1.0111290322580646</v>
      </c>
      <c r="P581" s="9">
        <f t="shared" si="505"/>
        <v>72.05747126436782</v>
      </c>
      <c r="Q581" s="5" t="str" cm="1">
        <f t="array" ref="Q581:R581">_xlfn.TEXTSPLIT(N581,"/")</f>
        <v>music</v>
      </c>
      <c r="R581" t="str">
        <v>jazz</v>
      </c>
      <c r="S581" s="10">
        <f t="shared" ref="S581:T581" si="585">(((J581/60)/60)/24)+DATE(1970,1,1)</f>
        <v>40762.208333333336</v>
      </c>
      <c r="T581" s="10">
        <f t="shared" si="585"/>
        <v>40774.208333333336</v>
      </c>
    </row>
    <row r="582" spans="1:20" ht="15.75" customHeight="1" x14ac:dyDescent="0.25">
      <c r="A582" s="5">
        <v>580</v>
      </c>
      <c r="B582" s="6" t="s">
        <v>564</v>
      </c>
      <c r="C582" s="7" t="s">
        <v>1212</v>
      </c>
      <c r="D582" s="5">
        <v>43800</v>
      </c>
      <c r="E582" s="5">
        <v>149578</v>
      </c>
      <c r="F582" s="5" t="s">
        <v>28</v>
      </c>
      <c r="G582" s="5">
        <v>3116</v>
      </c>
      <c r="H582" s="5" t="s">
        <v>29</v>
      </c>
      <c r="I582" s="5" t="s">
        <v>30</v>
      </c>
      <c r="J582" s="5">
        <v>1393394400</v>
      </c>
      <c r="K582" s="5">
        <v>1394085600</v>
      </c>
      <c r="L582" s="5" t="b">
        <v>0</v>
      </c>
      <c r="M582" s="5" t="b">
        <v>0</v>
      </c>
      <c r="N582" s="5" t="s">
        <v>41</v>
      </c>
      <c r="O582" s="8">
        <f t="shared" si="515"/>
        <v>3.4150228310502282</v>
      </c>
      <c r="P582" s="9">
        <f t="shared" si="505"/>
        <v>48.003209242618745</v>
      </c>
      <c r="Q582" s="5" t="str" cm="1">
        <f t="array" ref="Q582:R582">_xlfn.TEXTSPLIT(N582,"/")</f>
        <v>theater</v>
      </c>
      <c r="R582" t="str">
        <v>plays</v>
      </c>
      <c r="S582" s="10">
        <f t="shared" ref="S582:T582" si="586">(((J582/60)/60)/24)+DATE(1970,1,1)</f>
        <v>41696.25</v>
      </c>
      <c r="T582" s="10">
        <f t="shared" si="586"/>
        <v>41704.25</v>
      </c>
    </row>
    <row r="583" spans="1:20" ht="15.75" customHeight="1" x14ac:dyDescent="0.25">
      <c r="A583" s="5">
        <v>581</v>
      </c>
      <c r="B583" s="6" t="s">
        <v>1213</v>
      </c>
      <c r="C583" s="7" t="s">
        <v>1214</v>
      </c>
      <c r="D583" s="5">
        <v>6000</v>
      </c>
      <c r="E583" s="5">
        <v>3841</v>
      </c>
      <c r="F583" s="5" t="s">
        <v>22</v>
      </c>
      <c r="G583" s="5">
        <v>71</v>
      </c>
      <c r="H583" s="5" t="s">
        <v>29</v>
      </c>
      <c r="I583" s="5" t="s">
        <v>30</v>
      </c>
      <c r="J583" s="5">
        <v>1304053200</v>
      </c>
      <c r="K583" s="5">
        <v>1305349200</v>
      </c>
      <c r="L583" s="5" t="b">
        <v>0</v>
      </c>
      <c r="M583" s="5" t="b">
        <v>0</v>
      </c>
      <c r="N583" s="5" t="s">
        <v>36</v>
      </c>
      <c r="O583" s="8">
        <f t="shared" si="515"/>
        <v>0.64016666666666666</v>
      </c>
      <c r="P583" s="9">
        <f t="shared" si="505"/>
        <v>54.098591549295776</v>
      </c>
      <c r="Q583" s="5" t="str" cm="1">
        <f t="array" ref="Q583:R583">_xlfn.TEXTSPLIT(N583,"/")</f>
        <v>technology</v>
      </c>
      <c r="R583" t="str">
        <v>web</v>
      </c>
      <c r="S583" s="10">
        <f t="shared" ref="S583:T583" si="587">(((J583/60)/60)/24)+DATE(1970,1,1)</f>
        <v>40662.208333333336</v>
      </c>
      <c r="T583" s="10">
        <f t="shared" si="587"/>
        <v>40677.208333333336</v>
      </c>
    </row>
    <row r="584" spans="1:20" ht="15.75" customHeight="1" x14ac:dyDescent="0.25">
      <c r="A584" s="5">
        <v>582</v>
      </c>
      <c r="B584" s="6" t="s">
        <v>1215</v>
      </c>
      <c r="C584" s="7" t="s">
        <v>1216</v>
      </c>
      <c r="D584" s="5">
        <v>8700</v>
      </c>
      <c r="E584" s="5">
        <v>4531</v>
      </c>
      <c r="F584" s="5" t="s">
        <v>22</v>
      </c>
      <c r="G584" s="5">
        <v>42</v>
      </c>
      <c r="H584" s="5" t="s">
        <v>29</v>
      </c>
      <c r="I584" s="5" t="s">
        <v>30</v>
      </c>
      <c r="J584" s="5">
        <v>1433912400</v>
      </c>
      <c r="K584" s="5">
        <v>1434344400</v>
      </c>
      <c r="L584" s="5" t="b">
        <v>0</v>
      </c>
      <c r="M584" s="5" t="b">
        <v>1</v>
      </c>
      <c r="N584" s="5" t="s">
        <v>97</v>
      </c>
      <c r="O584" s="8">
        <f t="shared" si="515"/>
        <v>0.5208045977011494</v>
      </c>
      <c r="P584" s="9">
        <f t="shared" si="505"/>
        <v>107.88095238095238</v>
      </c>
      <c r="Q584" s="5" t="str" cm="1">
        <f t="array" ref="Q584:R584">_xlfn.TEXTSPLIT(N584,"/")</f>
        <v>games</v>
      </c>
      <c r="R584" t="str">
        <v>video games</v>
      </c>
      <c r="S584" s="10">
        <f t="shared" ref="S584:T584" si="588">(((J584/60)/60)/24)+DATE(1970,1,1)</f>
        <v>42165.208333333328</v>
      </c>
      <c r="T584" s="10">
        <f t="shared" si="588"/>
        <v>42170.208333333328</v>
      </c>
    </row>
    <row r="585" spans="1:20" ht="15.75" customHeight="1" x14ac:dyDescent="0.25">
      <c r="A585" s="5">
        <v>583</v>
      </c>
      <c r="B585" s="6" t="s">
        <v>1217</v>
      </c>
      <c r="C585" s="7" t="s">
        <v>1218</v>
      </c>
      <c r="D585" s="5">
        <v>18900</v>
      </c>
      <c r="E585" s="5">
        <v>60934</v>
      </c>
      <c r="F585" s="5" t="s">
        <v>28</v>
      </c>
      <c r="G585" s="5">
        <v>909</v>
      </c>
      <c r="H585" s="5" t="s">
        <v>29</v>
      </c>
      <c r="I585" s="5" t="s">
        <v>30</v>
      </c>
      <c r="J585" s="5">
        <v>1329717600</v>
      </c>
      <c r="K585" s="5">
        <v>1331186400</v>
      </c>
      <c r="L585" s="5" t="b">
        <v>0</v>
      </c>
      <c r="M585" s="5" t="b">
        <v>0</v>
      </c>
      <c r="N585" s="5" t="s">
        <v>50</v>
      </c>
      <c r="O585" s="8">
        <f t="shared" si="515"/>
        <v>3.2240211640211642</v>
      </c>
      <c r="P585" s="9">
        <f t="shared" si="505"/>
        <v>67.034103410341032</v>
      </c>
      <c r="Q585" s="5" t="str" cm="1">
        <f t="array" ref="Q585:R585">_xlfn.TEXTSPLIT(N585,"/")</f>
        <v>film &amp; video</v>
      </c>
      <c r="R585" t="str">
        <v>documentary</v>
      </c>
      <c r="S585" s="10">
        <f t="shared" ref="S585:T585" si="589">(((J585/60)/60)/24)+DATE(1970,1,1)</f>
        <v>40959.25</v>
      </c>
      <c r="T585" s="10">
        <f t="shared" si="589"/>
        <v>40976.25</v>
      </c>
    </row>
    <row r="586" spans="1:20" ht="15.75" customHeight="1" x14ac:dyDescent="0.25">
      <c r="A586" s="5">
        <v>584</v>
      </c>
      <c r="B586" s="6" t="s">
        <v>53</v>
      </c>
      <c r="C586" s="7" t="s">
        <v>1219</v>
      </c>
      <c r="D586" s="5">
        <v>86400</v>
      </c>
      <c r="E586" s="5">
        <v>103255</v>
      </c>
      <c r="F586" s="5" t="s">
        <v>28</v>
      </c>
      <c r="G586" s="5">
        <v>1613</v>
      </c>
      <c r="H586" s="5" t="s">
        <v>29</v>
      </c>
      <c r="I586" s="5" t="s">
        <v>30</v>
      </c>
      <c r="J586" s="5">
        <v>1335330000</v>
      </c>
      <c r="K586" s="5">
        <v>1336539600</v>
      </c>
      <c r="L586" s="5" t="b">
        <v>0</v>
      </c>
      <c r="M586" s="5" t="b">
        <v>0</v>
      </c>
      <c r="N586" s="5" t="s">
        <v>36</v>
      </c>
      <c r="O586" s="8">
        <f t="shared" si="515"/>
        <v>1.1950810185185186</v>
      </c>
      <c r="P586" s="9">
        <f t="shared" si="505"/>
        <v>64.01425914445133</v>
      </c>
      <c r="Q586" s="5" t="str" cm="1">
        <f t="array" ref="Q586:R586">_xlfn.TEXTSPLIT(N586,"/")</f>
        <v>technology</v>
      </c>
      <c r="R586" t="str">
        <v>web</v>
      </c>
      <c r="S586" s="10">
        <f t="shared" ref="S586:T586" si="590">(((J586/60)/60)/24)+DATE(1970,1,1)</f>
        <v>41024.208333333336</v>
      </c>
      <c r="T586" s="10">
        <f t="shared" si="590"/>
        <v>41038.208333333336</v>
      </c>
    </row>
    <row r="587" spans="1:20" ht="15.75" customHeight="1" x14ac:dyDescent="0.25">
      <c r="A587" s="5">
        <v>585</v>
      </c>
      <c r="B587" s="6" t="s">
        <v>1220</v>
      </c>
      <c r="C587" s="7" t="s">
        <v>1221</v>
      </c>
      <c r="D587" s="5">
        <v>8900</v>
      </c>
      <c r="E587" s="5">
        <v>13065</v>
      </c>
      <c r="F587" s="5" t="s">
        <v>28</v>
      </c>
      <c r="G587" s="5">
        <v>136</v>
      </c>
      <c r="H587" s="5" t="s">
        <v>29</v>
      </c>
      <c r="I587" s="5" t="s">
        <v>30</v>
      </c>
      <c r="J587" s="5">
        <v>1268888400</v>
      </c>
      <c r="K587" s="5">
        <v>1269752400</v>
      </c>
      <c r="L587" s="5" t="b">
        <v>0</v>
      </c>
      <c r="M587" s="5" t="b">
        <v>0</v>
      </c>
      <c r="N587" s="5" t="s">
        <v>214</v>
      </c>
      <c r="O587" s="8">
        <f t="shared" si="515"/>
        <v>1.4679775280898877</v>
      </c>
      <c r="P587" s="9">
        <f t="shared" si="505"/>
        <v>96.066176470588232</v>
      </c>
      <c r="Q587" s="5" t="str" cm="1">
        <f t="array" ref="Q587:R587">_xlfn.TEXTSPLIT(N587,"/")</f>
        <v>publishing</v>
      </c>
      <c r="R587" t="str">
        <v>translations</v>
      </c>
      <c r="S587" s="10">
        <f t="shared" ref="S587:T587" si="591">(((J587/60)/60)/24)+DATE(1970,1,1)</f>
        <v>40255.208333333336</v>
      </c>
      <c r="T587" s="10">
        <f t="shared" si="591"/>
        <v>40265.208333333336</v>
      </c>
    </row>
    <row r="588" spans="1:20" ht="15.75" customHeight="1" x14ac:dyDescent="0.25">
      <c r="A588" s="5">
        <v>586</v>
      </c>
      <c r="B588" s="6" t="s">
        <v>1222</v>
      </c>
      <c r="C588" s="7" t="s">
        <v>1223</v>
      </c>
      <c r="D588" s="5">
        <v>700</v>
      </c>
      <c r="E588" s="5">
        <v>6654</v>
      </c>
      <c r="F588" s="5" t="s">
        <v>28</v>
      </c>
      <c r="G588" s="5">
        <v>130</v>
      </c>
      <c r="H588" s="5" t="s">
        <v>29</v>
      </c>
      <c r="I588" s="5" t="s">
        <v>30</v>
      </c>
      <c r="J588" s="5">
        <v>1289973600</v>
      </c>
      <c r="K588" s="5">
        <v>1291615200</v>
      </c>
      <c r="L588" s="5" t="b">
        <v>0</v>
      </c>
      <c r="M588" s="5" t="b">
        <v>0</v>
      </c>
      <c r="N588" s="5" t="s">
        <v>31</v>
      </c>
      <c r="O588" s="8">
        <f t="shared" si="515"/>
        <v>9.5057142857142853</v>
      </c>
      <c r="P588" s="9">
        <f t="shared" si="505"/>
        <v>51.184615384615384</v>
      </c>
      <c r="Q588" s="5" t="str" cm="1">
        <f t="array" ref="Q588:R588">_xlfn.TEXTSPLIT(N588,"/")</f>
        <v>music</v>
      </c>
      <c r="R588" t="str">
        <v>rock</v>
      </c>
      <c r="S588" s="10">
        <f t="shared" ref="S588:T588" si="592">(((J588/60)/60)/24)+DATE(1970,1,1)</f>
        <v>40499.25</v>
      </c>
      <c r="T588" s="10">
        <f t="shared" si="592"/>
        <v>40518.25</v>
      </c>
    </row>
    <row r="589" spans="1:20" ht="15.75" customHeight="1" x14ac:dyDescent="0.25">
      <c r="A589" s="5">
        <v>587</v>
      </c>
      <c r="B589" s="6" t="s">
        <v>1224</v>
      </c>
      <c r="C589" s="7" t="s">
        <v>1225</v>
      </c>
      <c r="D589" s="5">
        <v>9400</v>
      </c>
      <c r="E589" s="5">
        <v>6852</v>
      </c>
      <c r="F589" s="5" t="s">
        <v>22</v>
      </c>
      <c r="G589" s="5">
        <v>156</v>
      </c>
      <c r="H589" s="5" t="s">
        <v>23</v>
      </c>
      <c r="I589" s="5" t="s">
        <v>24</v>
      </c>
      <c r="J589" s="5">
        <v>1547877600</v>
      </c>
      <c r="K589" s="5">
        <v>1552366800</v>
      </c>
      <c r="L589" s="5" t="b">
        <v>0</v>
      </c>
      <c r="M589" s="5" t="b">
        <v>1</v>
      </c>
      <c r="N589" s="5" t="s">
        <v>25</v>
      </c>
      <c r="O589" s="8">
        <f t="shared" si="515"/>
        <v>0.72893617021276591</v>
      </c>
      <c r="P589" s="9">
        <f t="shared" si="505"/>
        <v>43.92307692307692</v>
      </c>
      <c r="Q589" s="5" t="str" cm="1">
        <f t="array" ref="Q589:R589">_xlfn.TEXTSPLIT(N589,"/")</f>
        <v>food</v>
      </c>
      <c r="R589" t="str">
        <v>food trucks</v>
      </c>
      <c r="S589" s="10">
        <f t="shared" ref="S589:T589" si="593">(((J589/60)/60)/24)+DATE(1970,1,1)</f>
        <v>43484.25</v>
      </c>
      <c r="T589" s="10">
        <f t="shared" si="593"/>
        <v>43536.208333333328</v>
      </c>
    </row>
    <row r="590" spans="1:20" ht="15.75" customHeight="1" x14ac:dyDescent="0.25">
      <c r="A590" s="5">
        <v>588</v>
      </c>
      <c r="B590" s="6" t="s">
        <v>1226</v>
      </c>
      <c r="C590" s="7" t="s">
        <v>1227</v>
      </c>
      <c r="D590" s="5">
        <v>157600</v>
      </c>
      <c r="E590" s="5">
        <v>124517</v>
      </c>
      <c r="F590" s="5" t="s">
        <v>22</v>
      </c>
      <c r="G590" s="5">
        <v>1368</v>
      </c>
      <c r="H590" s="5" t="s">
        <v>48</v>
      </c>
      <c r="I590" s="5" t="s">
        <v>49</v>
      </c>
      <c r="J590" s="5">
        <v>1269493200</v>
      </c>
      <c r="K590" s="5">
        <v>1272171600</v>
      </c>
      <c r="L590" s="5" t="b">
        <v>0</v>
      </c>
      <c r="M590" s="5" t="b">
        <v>0</v>
      </c>
      <c r="N590" s="5" t="s">
        <v>41</v>
      </c>
      <c r="O590" s="8">
        <f t="shared" si="515"/>
        <v>0.7900824873096447</v>
      </c>
      <c r="P590" s="9">
        <f t="shared" si="505"/>
        <v>91.021198830409361</v>
      </c>
      <c r="Q590" s="5" t="str" cm="1">
        <f t="array" ref="Q590:R590">_xlfn.TEXTSPLIT(N590,"/")</f>
        <v>theater</v>
      </c>
      <c r="R590" t="str">
        <v>plays</v>
      </c>
      <c r="S590" s="10">
        <f t="shared" ref="S590:T590" si="594">(((J590/60)/60)/24)+DATE(1970,1,1)</f>
        <v>40262.208333333336</v>
      </c>
      <c r="T590" s="10">
        <f t="shared" si="594"/>
        <v>40293.208333333336</v>
      </c>
    </row>
    <row r="591" spans="1:20" ht="15.75" customHeight="1" x14ac:dyDescent="0.25">
      <c r="A591" s="5">
        <v>589</v>
      </c>
      <c r="B591" s="6" t="s">
        <v>1228</v>
      </c>
      <c r="C591" s="7" t="s">
        <v>1229</v>
      </c>
      <c r="D591" s="5">
        <v>7900</v>
      </c>
      <c r="E591" s="5">
        <v>5113</v>
      </c>
      <c r="F591" s="5" t="s">
        <v>22</v>
      </c>
      <c r="G591" s="5">
        <v>102</v>
      </c>
      <c r="H591" s="5" t="s">
        <v>29</v>
      </c>
      <c r="I591" s="5" t="s">
        <v>30</v>
      </c>
      <c r="J591" s="5">
        <v>1436072400</v>
      </c>
      <c r="K591" s="5">
        <v>1436677200</v>
      </c>
      <c r="L591" s="5" t="b">
        <v>0</v>
      </c>
      <c r="M591" s="5" t="b">
        <v>0</v>
      </c>
      <c r="N591" s="5" t="s">
        <v>50</v>
      </c>
      <c r="O591" s="8">
        <f t="shared" si="515"/>
        <v>0.64721518987341775</v>
      </c>
      <c r="P591" s="9">
        <f t="shared" si="505"/>
        <v>50.127450980392155</v>
      </c>
      <c r="Q591" s="5" t="str" cm="1">
        <f t="array" ref="Q591:R591">_xlfn.TEXTSPLIT(N591,"/")</f>
        <v>film &amp; video</v>
      </c>
      <c r="R591" t="str">
        <v>documentary</v>
      </c>
      <c r="S591" s="10">
        <f t="shared" ref="S591:T591" si="595">(((J591/60)/60)/24)+DATE(1970,1,1)</f>
        <v>42190.208333333328</v>
      </c>
      <c r="T591" s="10">
        <f t="shared" si="595"/>
        <v>42197.208333333328</v>
      </c>
    </row>
    <row r="592" spans="1:20" ht="15.75" customHeight="1" x14ac:dyDescent="0.25">
      <c r="A592" s="5">
        <v>590</v>
      </c>
      <c r="B592" s="6" t="s">
        <v>1230</v>
      </c>
      <c r="C592" s="7" t="s">
        <v>1231</v>
      </c>
      <c r="D592" s="5">
        <v>7100</v>
      </c>
      <c r="E592" s="5">
        <v>5824</v>
      </c>
      <c r="F592" s="5" t="s">
        <v>22</v>
      </c>
      <c r="G592" s="5">
        <v>86</v>
      </c>
      <c r="H592" s="5" t="s">
        <v>34</v>
      </c>
      <c r="I592" s="5" t="s">
        <v>35</v>
      </c>
      <c r="J592" s="5">
        <v>1419141600</v>
      </c>
      <c r="K592" s="5">
        <v>1420092000</v>
      </c>
      <c r="L592" s="5" t="b">
        <v>0</v>
      </c>
      <c r="M592" s="5" t="b">
        <v>0</v>
      </c>
      <c r="N592" s="5" t="s">
        <v>141</v>
      </c>
      <c r="O592" s="8">
        <f t="shared" si="515"/>
        <v>0.82028169014084507</v>
      </c>
      <c r="P592" s="9">
        <f t="shared" si="505"/>
        <v>67.720930232558146</v>
      </c>
      <c r="Q592" s="5" t="str" cm="1">
        <f t="array" ref="Q592:R592">_xlfn.TEXTSPLIT(N592,"/")</f>
        <v>publishing</v>
      </c>
      <c r="R592" t="str">
        <v>radio &amp; podcasts</v>
      </c>
      <c r="S592" s="10">
        <f t="shared" ref="S592:T592" si="596">(((J592/60)/60)/24)+DATE(1970,1,1)</f>
        <v>41994.25</v>
      </c>
      <c r="T592" s="10">
        <f t="shared" si="596"/>
        <v>42005.25</v>
      </c>
    </row>
    <row r="593" spans="1:20" ht="15.75" customHeight="1" x14ac:dyDescent="0.25">
      <c r="A593" s="5">
        <v>591</v>
      </c>
      <c r="B593" s="6" t="s">
        <v>1232</v>
      </c>
      <c r="C593" s="7" t="s">
        <v>1233</v>
      </c>
      <c r="D593" s="5">
        <v>600</v>
      </c>
      <c r="E593" s="5">
        <v>6226</v>
      </c>
      <c r="F593" s="5" t="s">
        <v>28</v>
      </c>
      <c r="G593" s="5">
        <v>102</v>
      </c>
      <c r="H593" s="5" t="s">
        <v>29</v>
      </c>
      <c r="I593" s="5" t="s">
        <v>30</v>
      </c>
      <c r="J593" s="5">
        <v>1279083600</v>
      </c>
      <c r="K593" s="5">
        <v>1279947600</v>
      </c>
      <c r="L593" s="5" t="b">
        <v>0</v>
      </c>
      <c r="M593" s="5" t="b">
        <v>0</v>
      </c>
      <c r="N593" s="5" t="s">
        <v>97</v>
      </c>
      <c r="O593" s="8">
        <f t="shared" si="515"/>
        <v>10.376666666666667</v>
      </c>
      <c r="P593" s="9">
        <f t="shared" si="505"/>
        <v>61.03921568627451</v>
      </c>
      <c r="Q593" s="5" t="str" cm="1">
        <f t="array" ref="Q593:R593">_xlfn.TEXTSPLIT(N593,"/")</f>
        <v>games</v>
      </c>
      <c r="R593" t="str">
        <v>video games</v>
      </c>
      <c r="S593" s="10">
        <f t="shared" ref="S593:T593" si="597">(((J593/60)/60)/24)+DATE(1970,1,1)</f>
        <v>40373.208333333336</v>
      </c>
      <c r="T593" s="10">
        <f t="shared" si="597"/>
        <v>40383.208333333336</v>
      </c>
    </row>
    <row r="594" spans="1:20" ht="15.75" customHeight="1" x14ac:dyDescent="0.25">
      <c r="A594" s="5">
        <v>592</v>
      </c>
      <c r="B594" s="6" t="s">
        <v>1234</v>
      </c>
      <c r="C594" s="7" t="s">
        <v>1235</v>
      </c>
      <c r="D594" s="5">
        <v>156800</v>
      </c>
      <c r="E594" s="5">
        <v>20243</v>
      </c>
      <c r="F594" s="5" t="s">
        <v>22</v>
      </c>
      <c r="G594" s="5">
        <v>253</v>
      </c>
      <c r="H594" s="5" t="s">
        <v>29</v>
      </c>
      <c r="I594" s="5" t="s">
        <v>30</v>
      </c>
      <c r="J594" s="5">
        <v>1401426000</v>
      </c>
      <c r="K594" s="5">
        <v>1402203600</v>
      </c>
      <c r="L594" s="5" t="b">
        <v>0</v>
      </c>
      <c r="M594" s="5" t="b">
        <v>0</v>
      </c>
      <c r="N594" s="5" t="s">
        <v>41</v>
      </c>
      <c r="O594" s="8">
        <f t="shared" si="515"/>
        <v>0.12910076530612244</v>
      </c>
      <c r="P594" s="9">
        <f t="shared" si="505"/>
        <v>80.011857707509876</v>
      </c>
      <c r="Q594" s="5" t="str" cm="1">
        <f t="array" ref="Q594:R594">_xlfn.TEXTSPLIT(N594,"/")</f>
        <v>theater</v>
      </c>
      <c r="R594" t="str">
        <v>plays</v>
      </c>
      <c r="S594" s="10">
        <f t="shared" ref="S594:T594" si="598">(((J594/60)/60)/24)+DATE(1970,1,1)</f>
        <v>41789.208333333336</v>
      </c>
      <c r="T594" s="10">
        <f t="shared" si="598"/>
        <v>41798.208333333336</v>
      </c>
    </row>
    <row r="595" spans="1:20" ht="15.75" customHeight="1" x14ac:dyDescent="0.25">
      <c r="A595" s="5">
        <v>593</v>
      </c>
      <c r="B595" s="6" t="s">
        <v>1236</v>
      </c>
      <c r="C595" s="7" t="s">
        <v>1237</v>
      </c>
      <c r="D595" s="5">
        <v>121600</v>
      </c>
      <c r="E595" s="5">
        <v>188288</v>
      </c>
      <c r="F595" s="5" t="s">
        <v>28</v>
      </c>
      <c r="G595" s="5">
        <v>4006</v>
      </c>
      <c r="H595" s="5" t="s">
        <v>29</v>
      </c>
      <c r="I595" s="5" t="s">
        <v>30</v>
      </c>
      <c r="J595" s="5">
        <v>1395810000</v>
      </c>
      <c r="K595" s="5">
        <v>1396933200</v>
      </c>
      <c r="L595" s="5" t="b">
        <v>0</v>
      </c>
      <c r="M595" s="5" t="b">
        <v>0</v>
      </c>
      <c r="N595" s="5" t="s">
        <v>79</v>
      </c>
      <c r="O595" s="8">
        <f t="shared" si="515"/>
        <v>1.5484210526315789</v>
      </c>
      <c r="P595" s="9">
        <f t="shared" si="505"/>
        <v>47.001497753369947</v>
      </c>
      <c r="Q595" s="5" t="str" cm="1">
        <f t="array" ref="Q595:R595">_xlfn.TEXTSPLIT(N595,"/")</f>
        <v>film &amp; video</v>
      </c>
      <c r="R595" t="str">
        <v>animation</v>
      </c>
      <c r="S595" s="10">
        <f t="shared" ref="S595:T595" si="599">(((J595/60)/60)/24)+DATE(1970,1,1)</f>
        <v>41724.208333333336</v>
      </c>
      <c r="T595" s="10">
        <f t="shared" si="599"/>
        <v>41737.208333333336</v>
      </c>
    </row>
    <row r="596" spans="1:20" ht="15.75" customHeight="1" x14ac:dyDescent="0.25">
      <c r="A596" s="5">
        <v>594</v>
      </c>
      <c r="B596" s="6" t="s">
        <v>1238</v>
      </c>
      <c r="C596" s="7" t="s">
        <v>1239</v>
      </c>
      <c r="D596" s="5">
        <v>157300</v>
      </c>
      <c r="E596" s="5">
        <v>11167</v>
      </c>
      <c r="F596" s="5" t="s">
        <v>22</v>
      </c>
      <c r="G596" s="5">
        <v>157</v>
      </c>
      <c r="H596" s="5" t="s">
        <v>29</v>
      </c>
      <c r="I596" s="5" t="s">
        <v>30</v>
      </c>
      <c r="J596" s="5">
        <v>1467003600</v>
      </c>
      <c r="K596" s="5">
        <v>1467262800</v>
      </c>
      <c r="L596" s="5" t="b">
        <v>0</v>
      </c>
      <c r="M596" s="5" t="b">
        <v>1</v>
      </c>
      <c r="N596" s="5" t="s">
        <v>41</v>
      </c>
      <c r="O596" s="8">
        <f t="shared" si="515"/>
        <v>7.0991735537190084E-2</v>
      </c>
      <c r="P596" s="9">
        <f t="shared" si="505"/>
        <v>71.127388535031841</v>
      </c>
      <c r="Q596" s="5" t="str" cm="1">
        <f t="array" ref="Q596:R596">_xlfn.TEXTSPLIT(N596,"/")</f>
        <v>theater</v>
      </c>
      <c r="R596" t="str">
        <v>plays</v>
      </c>
      <c r="S596" s="10">
        <f t="shared" ref="S596:T596" si="600">(((J596/60)/60)/24)+DATE(1970,1,1)</f>
        <v>42548.208333333328</v>
      </c>
      <c r="T596" s="10">
        <f t="shared" si="600"/>
        <v>42551.208333333328</v>
      </c>
    </row>
    <row r="597" spans="1:20" ht="15.75" customHeight="1" x14ac:dyDescent="0.25">
      <c r="A597" s="5">
        <v>595</v>
      </c>
      <c r="B597" s="6" t="s">
        <v>1240</v>
      </c>
      <c r="C597" s="7" t="s">
        <v>1241</v>
      </c>
      <c r="D597" s="5">
        <v>70300</v>
      </c>
      <c r="E597" s="5">
        <v>146595</v>
      </c>
      <c r="F597" s="5" t="s">
        <v>28</v>
      </c>
      <c r="G597" s="5">
        <v>1629</v>
      </c>
      <c r="H597" s="5" t="s">
        <v>29</v>
      </c>
      <c r="I597" s="5" t="s">
        <v>30</v>
      </c>
      <c r="J597" s="5">
        <v>1268715600</v>
      </c>
      <c r="K597" s="5">
        <v>1270530000</v>
      </c>
      <c r="L597" s="5" t="b">
        <v>0</v>
      </c>
      <c r="M597" s="5" t="b">
        <v>1</v>
      </c>
      <c r="N597" s="5" t="s">
        <v>41</v>
      </c>
      <c r="O597" s="8">
        <f t="shared" si="515"/>
        <v>2.0852773826458035</v>
      </c>
      <c r="P597" s="9">
        <f t="shared" si="505"/>
        <v>89.99079189686924</v>
      </c>
      <c r="Q597" s="5" t="str" cm="1">
        <f t="array" ref="Q597:R597">_xlfn.TEXTSPLIT(N597,"/")</f>
        <v>theater</v>
      </c>
      <c r="R597" t="str">
        <v>plays</v>
      </c>
      <c r="S597" s="10">
        <f t="shared" ref="S597:T597" si="601">(((J597/60)/60)/24)+DATE(1970,1,1)</f>
        <v>40253.208333333336</v>
      </c>
      <c r="T597" s="10">
        <f t="shared" si="601"/>
        <v>40274.208333333336</v>
      </c>
    </row>
    <row r="598" spans="1:20" ht="15.75" customHeight="1" x14ac:dyDescent="0.25">
      <c r="A598" s="5">
        <v>596</v>
      </c>
      <c r="B598" s="6" t="s">
        <v>1242</v>
      </c>
      <c r="C598" s="7" t="s">
        <v>1243</v>
      </c>
      <c r="D598" s="5">
        <v>7900</v>
      </c>
      <c r="E598" s="5">
        <v>7875</v>
      </c>
      <c r="F598" s="5" t="s">
        <v>22</v>
      </c>
      <c r="G598" s="5">
        <v>183</v>
      </c>
      <c r="H598" s="5" t="s">
        <v>29</v>
      </c>
      <c r="I598" s="5" t="s">
        <v>30</v>
      </c>
      <c r="J598" s="5">
        <v>1457157600</v>
      </c>
      <c r="K598" s="5">
        <v>1457762400</v>
      </c>
      <c r="L598" s="5" t="b">
        <v>0</v>
      </c>
      <c r="M598" s="5" t="b">
        <v>1</v>
      </c>
      <c r="N598" s="5" t="s">
        <v>61</v>
      </c>
      <c r="O598" s="8">
        <f t="shared" si="515"/>
        <v>0.99683544303797467</v>
      </c>
      <c r="P598" s="9">
        <f t="shared" si="505"/>
        <v>43.032786885245905</v>
      </c>
      <c r="Q598" s="5" t="str" cm="1">
        <f t="array" ref="Q598:R598">_xlfn.TEXTSPLIT(N598,"/")</f>
        <v>film &amp; video</v>
      </c>
      <c r="R598" t="str">
        <v>drama</v>
      </c>
      <c r="S598" s="10">
        <f t="shared" ref="S598:T598" si="602">(((J598/60)/60)/24)+DATE(1970,1,1)</f>
        <v>42434.25</v>
      </c>
      <c r="T598" s="10">
        <f t="shared" si="602"/>
        <v>42441.25</v>
      </c>
    </row>
    <row r="599" spans="1:20" ht="15.75" customHeight="1" x14ac:dyDescent="0.25">
      <c r="A599" s="5">
        <v>597</v>
      </c>
      <c r="B599" s="6" t="s">
        <v>1244</v>
      </c>
      <c r="C599" s="7" t="s">
        <v>1245</v>
      </c>
      <c r="D599" s="5">
        <v>73800</v>
      </c>
      <c r="E599" s="5">
        <v>148779</v>
      </c>
      <c r="F599" s="5" t="s">
        <v>28</v>
      </c>
      <c r="G599" s="5">
        <v>2188</v>
      </c>
      <c r="H599" s="5" t="s">
        <v>29</v>
      </c>
      <c r="I599" s="5" t="s">
        <v>30</v>
      </c>
      <c r="J599" s="5">
        <v>1573970400</v>
      </c>
      <c r="K599" s="5">
        <v>1575525600</v>
      </c>
      <c r="L599" s="5" t="b">
        <v>0</v>
      </c>
      <c r="M599" s="5" t="b">
        <v>0</v>
      </c>
      <c r="N599" s="5" t="s">
        <v>41</v>
      </c>
      <c r="O599" s="8">
        <f t="shared" si="515"/>
        <v>2.0159756097560977</v>
      </c>
      <c r="P599" s="9">
        <f t="shared" si="505"/>
        <v>67.997714808043881</v>
      </c>
      <c r="Q599" s="5" t="str" cm="1">
        <f t="array" ref="Q599:R599">_xlfn.TEXTSPLIT(N599,"/")</f>
        <v>theater</v>
      </c>
      <c r="R599" t="str">
        <v>plays</v>
      </c>
      <c r="S599" s="10">
        <f t="shared" ref="S599:T599" si="603">(((J599/60)/60)/24)+DATE(1970,1,1)</f>
        <v>43786.25</v>
      </c>
      <c r="T599" s="10">
        <f t="shared" si="603"/>
        <v>43804.25</v>
      </c>
    </row>
    <row r="600" spans="1:20" ht="15.75" customHeight="1" x14ac:dyDescent="0.25">
      <c r="A600" s="5">
        <v>598</v>
      </c>
      <c r="B600" s="6" t="s">
        <v>1246</v>
      </c>
      <c r="C600" s="7" t="s">
        <v>1247</v>
      </c>
      <c r="D600" s="5">
        <v>108500</v>
      </c>
      <c r="E600" s="5">
        <v>175868</v>
      </c>
      <c r="F600" s="5" t="s">
        <v>28</v>
      </c>
      <c r="G600" s="5">
        <v>2409</v>
      </c>
      <c r="H600" s="5" t="s">
        <v>115</v>
      </c>
      <c r="I600" s="5" t="s">
        <v>116</v>
      </c>
      <c r="J600" s="5">
        <v>1276578000</v>
      </c>
      <c r="K600" s="5">
        <v>1279083600</v>
      </c>
      <c r="L600" s="5" t="b">
        <v>0</v>
      </c>
      <c r="M600" s="5" t="b">
        <v>0</v>
      </c>
      <c r="N600" s="5" t="s">
        <v>31</v>
      </c>
      <c r="O600" s="8">
        <f t="shared" si="515"/>
        <v>1.6209032258064515</v>
      </c>
      <c r="P600" s="9">
        <f t="shared" si="505"/>
        <v>73.004566210045667</v>
      </c>
      <c r="Q600" s="5" t="str" cm="1">
        <f t="array" ref="Q600:R600">_xlfn.TEXTSPLIT(N600,"/")</f>
        <v>music</v>
      </c>
      <c r="R600" t="str">
        <v>rock</v>
      </c>
      <c r="S600" s="10">
        <f t="shared" ref="S600:T600" si="604">(((J600/60)/60)/24)+DATE(1970,1,1)</f>
        <v>40344.208333333336</v>
      </c>
      <c r="T600" s="10">
        <f t="shared" si="604"/>
        <v>40373.208333333336</v>
      </c>
    </row>
    <row r="601" spans="1:20" ht="15.75" customHeight="1" x14ac:dyDescent="0.25">
      <c r="A601" s="5">
        <v>599</v>
      </c>
      <c r="B601" s="6" t="s">
        <v>1248</v>
      </c>
      <c r="C601" s="7" t="s">
        <v>1249</v>
      </c>
      <c r="D601" s="5">
        <v>140300</v>
      </c>
      <c r="E601" s="5">
        <v>5112</v>
      </c>
      <c r="F601" s="5" t="s">
        <v>22</v>
      </c>
      <c r="G601" s="5">
        <v>82</v>
      </c>
      <c r="H601" s="5" t="s">
        <v>44</v>
      </c>
      <c r="I601" s="5" t="s">
        <v>45</v>
      </c>
      <c r="J601" s="5">
        <v>1423720800</v>
      </c>
      <c r="K601" s="5">
        <v>1424412000</v>
      </c>
      <c r="L601" s="5" t="b">
        <v>0</v>
      </c>
      <c r="M601" s="5" t="b">
        <v>0</v>
      </c>
      <c r="N601" s="5" t="s">
        <v>50</v>
      </c>
      <c r="O601" s="8">
        <f t="shared" si="515"/>
        <v>3.6436208125445471E-2</v>
      </c>
      <c r="P601" s="9">
        <f t="shared" si="505"/>
        <v>62.341463414634148</v>
      </c>
      <c r="Q601" s="5" t="str" cm="1">
        <f t="array" ref="Q601:R601">_xlfn.TEXTSPLIT(N601,"/")</f>
        <v>film &amp; video</v>
      </c>
      <c r="R601" t="str">
        <v>documentary</v>
      </c>
      <c r="S601" s="10">
        <f t="shared" ref="S601:T601" si="605">(((J601/60)/60)/24)+DATE(1970,1,1)</f>
        <v>42047.25</v>
      </c>
      <c r="T601" s="10">
        <f t="shared" si="605"/>
        <v>42055.25</v>
      </c>
    </row>
    <row r="602" spans="1:20" ht="15.75" customHeight="1" x14ac:dyDescent="0.25">
      <c r="A602" s="5">
        <v>600</v>
      </c>
      <c r="B602" s="6" t="s">
        <v>1250</v>
      </c>
      <c r="C602" s="7" t="s">
        <v>1251</v>
      </c>
      <c r="D602" s="5">
        <v>100</v>
      </c>
      <c r="E602" s="5">
        <v>5</v>
      </c>
      <c r="F602" s="5" t="s">
        <v>22</v>
      </c>
      <c r="G602" s="5">
        <v>1</v>
      </c>
      <c r="H602" s="5" t="s">
        <v>48</v>
      </c>
      <c r="I602" s="5" t="s">
        <v>49</v>
      </c>
      <c r="J602" s="5">
        <v>1375160400</v>
      </c>
      <c r="K602" s="5">
        <v>1376197200</v>
      </c>
      <c r="L602" s="5" t="b">
        <v>0</v>
      </c>
      <c r="M602" s="5" t="b">
        <v>0</v>
      </c>
      <c r="N602" s="5" t="s">
        <v>25</v>
      </c>
      <c r="O602" s="8">
        <f t="shared" si="515"/>
        <v>0.05</v>
      </c>
      <c r="P602" s="9">
        <f t="shared" si="505"/>
        <v>5</v>
      </c>
      <c r="Q602" s="5" t="str" cm="1">
        <f t="array" ref="Q602:R602">_xlfn.TEXTSPLIT(N602,"/")</f>
        <v>food</v>
      </c>
      <c r="R602" t="str">
        <v>food trucks</v>
      </c>
      <c r="S602" s="10">
        <f t="shared" ref="S602:T602" si="606">(((J602/60)/60)/24)+DATE(1970,1,1)</f>
        <v>41485.208333333336</v>
      </c>
      <c r="T602" s="10">
        <f t="shared" si="606"/>
        <v>41497.208333333336</v>
      </c>
    </row>
    <row r="603" spans="1:20" ht="15.75" customHeight="1" x14ac:dyDescent="0.25">
      <c r="A603" s="5">
        <v>601</v>
      </c>
      <c r="B603" s="6" t="s">
        <v>1252</v>
      </c>
      <c r="C603" s="7" t="s">
        <v>1253</v>
      </c>
      <c r="D603" s="5">
        <v>6300</v>
      </c>
      <c r="E603" s="5">
        <v>13018</v>
      </c>
      <c r="F603" s="5" t="s">
        <v>28</v>
      </c>
      <c r="G603" s="5">
        <v>194</v>
      </c>
      <c r="H603" s="5" t="s">
        <v>29</v>
      </c>
      <c r="I603" s="5" t="s">
        <v>30</v>
      </c>
      <c r="J603" s="5">
        <v>1401426000</v>
      </c>
      <c r="K603" s="5">
        <v>1402894800</v>
      </c>
      <c r="L603" s="5" t="b">
        <v>1</v>
      </c>
      <c r="M603" s="5" t="b">
        <v>0</v>
      </c>
      <c r="N603" s="5" t="s">
        <v>73</v>
      </c>
      <c r="O603" s="8">
        <f t="shared" si="515"/>
        <v>2.0663492063492064</v>
      </c>
      <c r="P603" s="9">
        <f t="shared" si="505"/>
        <v>67.103092783505161</v>
      </c>
      <c r="Q603" s="5" t="str" cm="1">
        <f t="array" ref="Q603:R603">_xlfn.TEXTSPLIT(N603,"/")</f>
        <v>technology</v>
      </c>
      <c r="R603" t="str">
        <v>wearables</v>
      </c>
      <c r="S603" s="10">
        <f t="shared" ref="S603:T603" si="607">(((J603/60)/60)/24)+DATE(1970,1,1)</f>
        <v>41789.208333333336</v>
      </c>
      <c r="T603" s="10">
        <f t="shared" si="607"/>
        <v>41806.208333333336</v>
      </c>
    </row>
    <row r="604" spans="1:20" ht="15.75" customHeight="1" x14ac:dyDescent="0.25">
      <c r="A604" s="5">
        <v>602</v>
      </c>
      <c r="B604" s="6" t="s">
        <v>1254</v>
      </c>
      <c r="C604" s="7" t="s">
        <v>1255</v>
      </c>
      <c r="D604" s="5">
        <v>71100</v>
      </c>
      <c r="E604" s="5">
        <v>91176</v>
      </c>
      <c r="F604" s="5" t="s">
        <v>28</v>
      </c>
      <c r="G604" s="5">
        <v>1140</v>
      </c>
      <c r="H604" s="5" t="s">
        <v>29</v>
      </c>
      <c r="I604" s="5" t="s">
        <v>30</v>
      </c>
      <c r="J604" s="5">
        <v>1433480400</v>
      </c>
      <c r="K604" s="5">
        <v>1434430800</v>
      </c>
      <c r="L604" s="5" t="b">
        <v>0</v>
      </c>
      <c r="M604" s="5" t="b">
        <v>0</v>
      </c>
      <c r="N604" s="5" t="s">
        <v>41</v>
      </c>
      <c r="O604" s="8">
        <f t="shared" si="515"/>
        <v>1.2823628691983122</v>
      </c>
      <c r="P604" s="9">
        <f t="shared" si="505"/>
        <v>79.978947368421046</v>
      </c>
      <c r="Q604" s="5" t="str" cm="1">
        <f t="array" ref="Q604:R604">_xlfn.TEXTSPLIT(N604,"/")</f>
        <v>theater</v>
      </c>
      <c r="R604" t="str">
        <v>plays</v>
      </c>
      <c r="S604" s="10">
        <f t="shared" ref="S604:T604" si="608">(((J604/60)/60)/24)+DATE(1970,1,1)</f>
        <v>42160.208333333328</v>
      </c>
      <c r="T604" s="10">
        <f t="shared" si="608"/>
        <v>42171.208333333328</v>
      </c>
    </row>
    <row r="605" spans="1:20" ht="15.75" customHeight="1" x14ac:dyDescent="0.25">
      <c r="A605" s="5">
        <v>603</v>
      </c>
      <c r="B605" s="6" t="s">
        <v>1256</v>
      </c>
      <c r="C605" s="7" t="s">
        <v>1257</v>
      </c>
      <c r="D605" s="5">
        <v>5300</v>
      </c>
      <c r="E605" s="5">
        <v>6342</v>
      </c>
      <c r="F605" s="5" t="s">
        <v>28</v>
      </c>
      <c r="G605" s="5">
        <v>102</v>
      </c>
      <c r="H605" s="5" t="s">
        <v>29</v>
      </c>
      <c r="I605" s="5" t="s">
        <v>30</v>
      </c>
      <c r="J605" s="5">
        <v>1555563600</v>
      </c>
      <c r="K605" s="5">
        <v>1557896400</v>
      </c>
      <c r="L605" s="5" t="b">
        <v>0</v>
      </c>
      <c r="M605" s="5" t="b">
        <v>0</v>
      </c>
      <c r="N605" s="5" t="s">
        <v>41</v>
      </c>
      <c r="O605" s="8">
        <f t="shared" si="515"/>
        <v>1.1966037735849056</v>
      </c>
      <c r="P605" s="9">
        <f t="shared" si="505"/>
        <v>62.176470588235297</v>
      </c>
      <c r="Q605" s="5" t="str" cm="1">
        <f t="array" ref="Q605:R605">_xlfn.TEXTSPLIT(N605,"/")</f>
        <v>theater</v>
      </c>
      <c r="R605" t="str">
        <v>plays</v>
      </c>
      <c r="S605" s="10">
        <f t="shared" ref="S605:T605" si="609">(((J605/60)/60)/24)+DATE(1970,1,1)</f>
        <v>43573.208333333328</v>
      </c>
      <c r="T605" s="10">
        <f t="shared" si="609"/>
        <v>43600.208333333328</v>
      </c>
    </row>
    <row r="606" spans="1:20" ht="15.75" customHeight="1" x14ac:dyDescent="0.25">
      <c r="A606" s="5">
        <v>604</v>
      </c>
      <c r="B606" s="6" t="s">
        <v>1258</v>
      </c>
      <c r="C606" s="7" t="s">
        <v>1259</v>
      </c>
      <c r="D606" s="5">
        <v>88700</v>
      </c>
      <c r="E606" s="5">
        <v>151438</v>
      </c>
      <c r="F606" s="5" t="s">
        <v>28</v>
      </c>
      <c r="G606" s="5">
        <v>2857</v>
      </c>
      <c r="H606" s="5" t="s">
        <v>29</v>
      </c>
      <c r="I606" s="5" t="s">
        <v>30</v>
      </c>
      <c r="J606" s="5">
        <v>1295676000</v>
      </c>
      <c r="K606" s="5">
        <v>1297490400</v>
      </c>
      <c r="L606" s="5" t="b">
        <v>0</v>
      </c>
      <c r="M606" s="5" t="b">
        <v>0</v>
      </c>
      <c r="N606" s="5" t="s">
        <v>41</v>
      </c>
      <c r="O606" s="8">
        <f t="shared" si="515"/>
        <v>1.7073055242390078</v>
      </c>
      <c r="P606" s="9">
        <f t="shared" si="505"/>
        <v>53.005950297514879</v>
      </c>
      <c r="Q606" s="5" t="str" cm="1">
        <f t="array" ref="Q606:R606">_xlfn.TEXTSPLIT(N606,"/")</f>
        <v>theater</v>
      </c>
      <c r="R606" t="str">
        <v>plays</v>
      </c>
      <c r="S606" s="10">
        <f t="shared" ref="S606:T606" si="610">(((J606/60)/60)/24)+DATE(1970,1,1)</f>
        <v>40565.25</v>
      </c>
      <c r="T606" s="10">
        <f t="shared" si="610"/>
        <v>40586.25</v>
      </c>
    </row>
    <row r="607" spans="1:20" ht="15.75" customHeight="1" x14ac:dyDescent="0.25">
      <c r="A607" s="5">
        <v>605</v>
      </c>
      <c r="B607" s="6" t="s">
        <v>1260</v>
      </c>
      <c r="C607" s="7" t="s">
        <v>1261</v>
      </c>
      <c r="D607" s="5">
        <v>3300</v>
      </c>
      <c r="E607" s="5">
        <v>6178</v>
      </c>
      <c r="F607" s="5" t="s">
        <v>28</v>
      </c>
      <c r="G607" s="5">
        <v>107</v>
      </c>
      <c r="H607" s="5" t="s">
        <v>29</v>
      </c>
      <c r="I607" s="5" t="s">
        <v>30</v>
      </c>
      <c r="J607" s="5">
        <v>1443848400</v>
      </c>
      <c r="K607" s="5">
        <v>1447394400</v>
      </c>
      <c r="L607" s="5" t="b">
        <v>0</v>
      </c>
      <c r="M607" s="5" t="b">
        <v>0</v>
      </c>
      <c r="N607" s="5" t="s">
        <v>76</v>
      </c>
      <c r="O607" s="8">
        <f t="shared" si="515"/>
        <v>1.8721212121212121</v>
      </c>
      <c r="P607" s="9">
        <f t="shared" si="505"/>
        <v>57.738317757009348</v>
      </c>
      <c r="Q607" s="5" t="str" cm="1">
        <f t="array" ref="Q607:R607">_xlfn.TEXTSPLIT(N607,"/")</f>
        <v>publishing</v>
      </c>
      <c r="R607" t="str">
        <v>nonfiction</v>
      </c>
      <c r="S607" s="10">
        <f t="shared" ref="S607:T607" si="611">(((J607/60)/60)/24)+DATE(1970,1,1)</f>
        <v>42280.208333333328</v>
      </c>
      <c r="T607" s="10">
        <f t="shared" si="611"/>
        <v>42321.25</v>
      </c>
    </row>
    <row r="608" spans="1:20" ht="15.75" customHeight="1" x14ac:dyDescent="0.25">
      <c r="A608" s="5">
        <v>606</v>
      </c>
      <c r="B608" s="6" t="s">
        <v>1262</v>
      </c>
      <c r="C608" s="7" t="s">
        <v>1263</v>
      </c>
      <c r="D608" s="5">
        <v>3400</v>
      </c>
      <c r="E608" s="5">
        <v>6405</v>
      </c>
      <c r="F608" s="5" t="s">
        <v>28</v>
      </c>
      <c r="G608" s="5">
        <v>160</v>
      </c>
      <c r="H608" s="5" t="s">
        <v>48</v>
      </c>
      <c r="I608" s="5" t="s">
        <v>49</v>
      </c>
      <c r="J608" s="5">
        <v>1457330400</v>
      </c>
      <c r="K608" s="5">
        <v>1458277200</v>
      </c>
      <c r="L608" s="5" t="b">
        <v>0</v>
      </c>
      <c r="M608" s="5" t="b">
        <v>0</v>
      </c>
      <c r="N608" s="5" t="s">
        <v>31</v>
      </c>
      <c r="O608" s="8">
        <f t="shared" si="515"/>
        <v>1.8838235294117647</v>
      </c>
      <c r="P608" s="9">
        <f t="shared" si="505"/>
        <v>40.03125</v>
      </c>
      <c r="Q608" s="5" t="str" cm="1">
        <f t="array" ref="Q608:R608">_xlfn.TEXTSPLIT(N608,"/")</f>
        <v>music</v>
      </c>
      <c r="R608" t="str">
        <v>rock</v>
      </c>
      <c r="S608" s="10">
        <f t="shared" ref="S608:T608" si="612">(((J608/60)/60)/24)+DATE(1970,1,1)</f>
        <v>42436.25</v>
      </c>
      <c r="T608" s="10">
        <f t="shared" si="612"/>
        <v>42447.208333333328</v>
      </c>
    </row>
    <row r="609" spans="1:20" ht="15.75" customHeight="1" x14ac:dyDescent="0.25">
      <c r="A609" s="5">
        <v>607</v>
      </c>
      <c r="B609" s="6" t="s">
        <v>1264</v>
      </c>
      <c r="C609" s="7" t="s">
        <v>1265</v>
      </c>
      <c r="D609" s="5">
        <v>137600</v>
      </c>
      <c r="E609" s="5">
        <v>180667</v>
      </c>
      <c r="F609" s="5" t="s">
        <v>28</v>
      </c>
      <c r="G609" s="5">
        <v>2230</v>
      </c>
      <c r="H609" s="5" t="s">
        <v>29</v>
      </c>
      <c r="I609" s="5" t="s">
        <v>30</v>
      </c>
      <c r="J609" s="5">
        <v>1395550800</v>
      </c>
      <c r="K609" s="5">
        <v>1395723600</v>
      </c>
      <c r="L609" s="5" t="b">
        <v>0</v>
      </c>
      <c r="M609" s="5" t="b">
        <v>0</v>
      </c>
      <c r="N609" s="5" t="s">
        <v>25</v>
      </c>
      <c r="O609" s="8">
        <f t="shared" si="515"/>
        <v>1.3129869186046512</v>
      </c>
      <c r="P609" s="9">
        <f t="shared" si="505"/>
        <v>81.016591928251117</v>
      </c>
      <c r="Q609" s="5" t="str" cm="1">
        <f t="array" ref="Q609:R609">_xlfn.TEXTSPLIT(N609,"/")</f>
        <v>food</v>
      </c>
      <c r="R609" t="str">
        <v>food trucks</v>
      </c>
      <c r="S609" s="10">
        <f t="shared" ref="S609:T609" si="613">(((J609/60)/60)/24)+DATE(1970,1,1)</f>
        <v>41721.208333333336</v>
      </c>
      <c r="T609" s="10">
        <f t="shared" si="613"/>
        <v>41723.208333333336</v>
      </c>
    </row>
    <row r="610" spans="1:20" ht="15.75" customHeight="1" x14ac:dyDescent="0.25">
      <c r="A610" s="5">
        <v>608</v>
      </c>
      <c r="B610" s="6" t="s">
        <v>1266</v>
      </c>
      <c r="C610" s="7" t="s">
        <v>1267</v>
      </c>
      <c r="D610" s="5">
        <v>3900</v>
      </c>
      <c r="E610" s="5">
        <v>11075</v>
      </c>
      <c r="F610" s="5" t="s">
        <v>28</v>
      </c>
      <c r="G610" s="5">
        <v>316</v>
      </c>
      <c r="H610" s="5" t="s">
        <v>29</v>
      </c>
      <c r="I610" s="5" t="s">
        <v>30</v>
      </c>
      <c r="J610" s="5">
        <v>1551852000</v>
      </c>
      <c r="K610" s="5">
        <v>1552197600</v>
      </c>
      <c r="L610" s="5" t="b">
        <v>0</v>
      </c>
      <c r="M610" s="5" t="b">
        <v>1</v>
      </c>
      <c r="N610" s="5" t="s">
        <v>167</v>
      </c>
      <c r="O610" s="8">
        <f t="shared" si="515"/>
        <v>2.8397435897435899</v>
      </c>
      <c r="P610" s="9">
        <f t="shared" si="505"/>
        <v>35.047468354430379</v>
      </c>
      <c r="Q610" s="5" t="str" cm="1">
        <f t="array" ref="Q610:R610">_xlfn.TEXTSPLIT(N610,"/")</f>
        <v>music</v>
      </c>
      <c r="R610" t="str">
        <v>jazz</v>
      </c>
      <c r="S610" s="10">
        <f t="shared" ref="S610:T610" si="614">(((J610/60)/60)/24)+DATE(1970,1,1)</f>
        <v>43530.25</v>
      </c>
      <c r="T610" s="10">
        <f t="shared" si="614"/>
        <v>43534.25</v>
      </c>
    </row>
    <row r="611" spans="1:20" ht="15.75" customHeight="1" x14ac:dyDescent="0.25">
      <c r="A611" s="5">
        <v>609</v>
      </c>
      <c r="B611" s="6" t="s">
        <v>1268</v>
      </c>
      <c r="C611" s="7" t="s">
        <v>1269</v>
      </c>
      <c r="D611" s="5">
        <v>10000</v>
      </c>
      <c r="E611" s="5">
        <v>12042</v>
      </c>
      <c r="F611" s="5" t="s">
        <v>28</v>
      </c>
      <c r="G611" s="5">
        <v>117</v>
      </c>
      <c r="H611" s="5" t="s">
        <v>29</v>
      </c>
      <c r="I611" s="5" t="s">
        <v>30</v>
      </c>
      <c r="J611" s="5">
        <v>1547618400</v>
      </c>
      <c r="K611" s="5">
        <v>1549087200</v>
      </c>
      <c r="L611" s="5" t="b">
        <v>0</v>
      </c>
      <c r="M611" s="5" t="b">
        <v>0</v>
      </c>
      <c r="N611" s="5" t="s">
        <v>482</v>
      </c>
      <c r="O611" s="8">
        <f t="shared" si="515"/>
        <v>1.2041999999999999</v>
      </c>
      <c r="P611" s="9">
        <f t="shared" si="505"/>
        <v>102.92307692307692</v>
      </c>
      <c r="Q611" s="5" t="str" cm="1">
        <f t="array" ref="Q611:R611">_xlfn.TEXTSPLIT(N611,"/")</f>
        <v>film &amp; video</v>
      </c>
      <c r="R611" t="str">
        <v>science fiction</v>
      </c>
      <c r="S611" s="10">
        <f t="shared" ref="S611:T611" si="615">(((J611/60)/60)/24)+DATE(1970,1,1)</f>
        <v>43481.25</v>
      </c>
      <c r="T611" s="10">
        <f t="shared" si="615"/>
        <v>43498.25</v>
      </c>
    </row>
    <row r="612" spans="1:20" ht="15.75" customHeight="1" x14ac:dyDescent="0.25">
      <c r="A612" s="5">
        <v>610</v>
      </c>
      <c r="B612" s="6" t="s">
        <v>1270</v>
      </c>
      <c r="C612" s="7" t="s">
        <v>1271</v>
      </c>
      <c r="D612" s="5">
        <v>42800</v>
      </c>
      <c r="E612" s="5">
        <v>179356</v>
      </c>
      <c r="F612" s="5" t="s">
        <v>28</v>
      </c>
      <c r="G612" s="5">
        <v>6406</v>
      </c>
      <c r="H612" s="5" t="s">
        <v>29</v>
      </c>
      <c r="I612" s="5" t="s">
        <v>30</v>
      </c>
      <c r="J612" s="5">
        <v>1355637600</v>
      </c>
      <c r="K612" s="5">
        <v>1356847200</v>
      </c>
      <c r="L612" s="5" t="b">
        <v>0</v>
      </c>
      <c r="M612" s="5" t="b">
        <v>0</v>
      </c>
      <c r="N612" s="5" t="s">
        <v>41</v>
      </c>
      <c r="O612" s="8">
        <f t="shared" si="515"/>
        <v>4.1905607476635511</v>
      </c>
      <c r="P612" s="9">
        <f t="shared" si="505"/>
        <v>27.998126756166094</v>
      </c>
      <c r="Q612" s="5" t="str" cm="1">
        <f t="array" ref="Q612:R612">_xlfn.TEXTSPLIT(N612,"/")</f>
        <v>theater</v>
      </c>
      <c r="R612" t="str">
        <v>plays</v>
      </c>
      <c r="S612" s="10">
        <f t="shared" ref="S612:T612" si="616">(((J612/60)/60)/24)+DATE(1970,1,1)</f>
        <v>41259.25</v>
      </c>
      <c r="T612" s="10">
        <f t="shared" si="616"/>
        <v>41273.25</v>
      </c>
    </row>
    <row r="613" spans="1:20" ht="15.75" customHeight="1" x14ac:dyDescent="0.25">
      <c r="A613" s="5">
        <v>611</v>
      </c>
      <c r="B613" s="6" t="s">
        <v>1272</v>
      </c>
      <c r="C613" s="7" t="s">
        <v>1273</v>
      </c>
      <c r="D613" s="5">
        <v>8200</v>
      </c>
      <c r="E613" s="5">
        <v>1136</v>
      </c>
      <c r="F613" s="5" t="s">
        <v>82</v>
      </c>
      <c r="G613" s="5">
        <v>15</v>
      </c>
      <c r="H613" s="5" t="s">
        <v>29</v>
      </c>
      <c r="I613" s="5" t="s">
        <v>30</v>
      </c>
      <c r="J613" s="5">
        <v>1374728400</v>
      </c>
      <c r="K613" s="5">
        <v>1375765200</v>
      </c>
      <c r="L613" s="5" t="b">
        <v>0</v>
      </c>
      <c r="M613" s="5" t="b">
        <v>0</v>
      </c>
      <c r="N613" s="5" t="s">
        <v>41</v>
      </c>
      <c r="O613" s="8">
        <f t="shared" si="515"/>
        <v>0.13853658536585367</v>
      </c>
      <c r="P613" s="9">
        <f t="shared" si="505"/>
        <v>75.733333333333334</v>
      </c>
      <c r="Q613" s="5" t="str" cm="1">
        <f t="array" ref="Q613:R613">_xlfn.TEXTSPLIT(N613,"/")</f>
        <v>theater</v>
      </c>
      <c r="R613" t="str">
        <v>plays</v>
      </c>
      <c r="S613" s="10">
        <f t="shared" ref="S613:T613" si="617">(((J613/60)/60)/24)+DATE(1970,1,1)</f>
        <v>41480.208333333336</v>
      </c>
      <c r="T613" s="10">
        <f t="shared" si="617"/>
        <v>41492.208333333336</v>
      </c>
    </row>
    <row r="614" spans="1:20" ht="15.75" customHeight="1" x14ac:dyDescent="0.25">
      <c r="A614" s="5">
        <v>612</v>
      </c>
      <c r="B614" s="6" t="s">
        <v>1274</v>
      </c>
      <c r="C614" s="7" t="s">
        <v>1275</v>
      </c>
      <c r="D614" s="5">
        <v>6200</v>
      </c>
      <c r="E614" s="5">
        <v>8645</v>
      </c>
      <c r="F614" s="5" t="s">
        <v>28</v>
      </c>
      <c r="G614" s="5">
        <v>192</v>
      </c>
      <c r="H614" s="5" t="s">
        <v>29</v>
      </c>
      <c r="I614" s="5" t="s">
        <v>30</v>
      </c>
      <c r="J614" s="5">
        <v>1287810000</v>
      </c>
      <c r="K614" s="5">
        <v>1289800800</v>
      </c>
      <c r="L614" s="5" t="b">
        <v>0</v>
      </c>
      <c r="M614" s="5" t="b">
        <v>0</v>
      </c>
      <c r="N614" s="5" t="s">
        <v>58</v>
      </c>
      <c r="O614" s="8">
        <f t="shared" si="515"/>
        <v>1.3943548387096774</v>
      </c>
      <c r="P614" s="9">
        <f t="shared" si="505"/>
        <v>45.026041666666664</v>
      </c>
      <c r="Q614" s="5" t="str" cm="1">
        <f t="array" ref="Q614:R614">_xlfn.TEXTSPLIT(N614,"/")</f>
        <v>music</v>
      </c>
      <c r="R614" t="str">
        <v>electric music</v>
      </c>
      <c r="S614" s="10">
        <f t="shared" ref="S614:T614" si="618">(((J614/60)/60)/24)+DATE(1970,1,1)</f>
        <v>40474.208333333336</v>
      </c>
      <c r="T614" s="10">
        <f t="shared" si="618"/>
        <v>40497.25</v>
      </c>
    </row>
    <row r="615" spans="1:20" ht="15.75" customHeight="1" x14ac:dyDescent="0.25">
      <c r="A615" s="5">
        <v>613</v>
      </c>
      <c r="B615" s="6" t="s">
        <v>1276</v>
      </c>
      <c r="C615" s="7" t="s">
        <v>1277</v>
      </c>
      <c r="D615" s="5">
        <v>1100</v>
      </c>
      <c r="E615" s="5">
        <v>1914</v>
      </c>
      <c r="F615" s="5" t="s">
        <v>28</v>
      </c>
      <c r="G615" s="5">
        <v>26</v>
      </c>
      <c r="H615" s="5" t="s">
        <v>23</v>
      </c>
      <c r="I615" s="5" t="s">
        <v>24</v>
      </c>
      <c r="J615" s="5">
        <v>1503723600</v>
      </c>
      <c r="K615" s="5">
        <v>1504501200</v>
      </c>
      <c r="L615" s="5" t="b">
        <v>0</v>
      </c>
      <c r="M615" s="5" t="b">
        <v>0</v>
      </c>
      <c r="N615" s="5" t="s">
        <v>41</v>
      </c>
      <c r="O615" s="8">
        <f t="shared" si="515"/>
        <v>1.74</v>
      </c>
      <c r="P615" s="9">
        <f t="shared" si="505"/>
        <v>73.615384615384613</v>
      </c>
      <c r="Q615" s="5" t="str" cm="1">
        <f t="array" ref="Q615:R615">_xlfn.TEXTSPLIT(N615,"/")</f>
        <v>theater</v>
      </c>
      <c r="R615" t="str">
        <v>plays</v>
      </c>
      <c r="S615" s="10">
        <f t="shared" ref="S615:T615" si="619">(((J615/60)/60)/24)+DATE(1970,1,1)</f>
        <v>42973.208333333328</v>
      </c>
      <c r="T615" s="10">
        <f t="shared" si="619"/>
        <v>42982.208333333328</v>
      </c>
    </row>
    <row r="616" spans="1:20" ht="15.75" customHeight="1" x14ac:dyDescent="0.25">
      <c r="A616" s="5">
        <v>614</v>
      </c>
      <c r="B616" s="6" t="s">
        <v>1278</v>
      </c>
      <c r="C616" s="7" t="s">
        <v>1279</v>
      </c>
      <c r="D616" s="5">
        <v>26500</v>
      </c>
      <c r="E616" s="5">
        <v>41205</v>
      </c>
      <c r="F616" s="5" t="s">
        <v>28</v>
      </c>
      <c r="G616" s="5">
        <v>723</v>
      </c>
      <c r="H616" s="5" t="s">
        <v>29</v>
      </c>
      <c r="I616" s="5" t="s">
        <v>30</v>
      </c>
      <c r="J616" s="5">
        <v>1484114400</v>
      </c>
      <c r="K616" s="5">
        <v>1485669600</v>
      </c>
      <c r="L616" s="5" t="b">
        <v>0</v>
      </c>
      <c r="M616" s="5" t="b">
        <v>0</v>
      </c>
      <c r="N616" s="5" t="s">
        <v>41</v>
      </c>
      <c r="O616" s="8">
        <f t="shared" si="515"/>
        <v>1.5549056603773586</v>
      </c>
      <c r="P616" s="9">
        <f t="shared" si="505"/>
        <v>56.991701244813278</v>
      </c>
      <c r="Q616" s="5" t="str" cm="1">
        <f t="array" ref="Q616:R616">_xlfn.TEXTSPLIT(N616,"/")</f>
        <v>theater</v>
      </c>
      <c r="R616" t="str">
        <v>plays</v>
      </c>
      <c r="S616" s="10">
        <f t="shared" ref="S616:T616" si="620">(((J616/60)/60)/24)+DATE(1970,1,1)</f>
        <v>42746.25</v>
      </c>
      <c r="T616" s="10">
        <f t="shared" si="620"/>
        <v>42764.25</v>
      </c>
    </row>
    <row r="617" spans="1:20" ht="15.75" customHeight="1" x14ac:dyDescent="0.25">
      <c r="A617" s="5">
        <v>615</v>
      </c>
      <c r="B617" s="6" t="s">
        <v>1280</v>
      </c>
      <c r="C617" s="7" t="s">
        <v>1281</v>
      </c>
      <c r="D617" s="5">
        <v>8500</v>
      </c>
      <c r="E617" s="5">
        <v>14488</v>
      </c>
      <c r="F617" s="5" t="s">
        <v>28</v>
      </c>
      <c r="G617" s="5">
        <v>170</v>
      </c>
      <c r="H617" s="5" t="s">
        <v>115</v>
      </c>
      <c r="I617" s="5" t="s">
        <v>116</v>
      </c>
      <c r="J617" s="5">
        <v>1461906000</v>
      </c>
      <c r="K617" s="5">
        <v>1462770000</v>
      </c>
      <c r="L617" s="5" t="b">
        <v>0</v>
      </c>
      <c r="M617" s="5" t="b">
        <v>0</v>
      </c>
      <c r="N617" s="5" t="s">
        <v>41</v>
      </c>
      <c r="O617" s="8">
        <f t="shared" si="515"/>
        <v>1.7044705882352942</v>
      </c>
      <c r="P617" s="9">
        <f t="shared" si="505"/>
        <v>85.223529411764702</v>
      </c>
      <c r="Q617" s="5" t="str" cm="1">
        <f t="array" ref="Q617:R617">_xlfn.TEXTSPLIT(N617,"/")</f>
        <v>theater</v>
      </c>
      <c r="R617" t="str">
        <v>plays</v>
      </c>
      <c r="S617" s="10">
        <f t="shared" ref="S617:T617" si="621">(((J617/60)/60)/24)+DATE(1970,1,1)</f>
        <v>42489.208333333328</v>
      </c>
      <c r="T617" s="10">
        <f t="shared" si="621"/>
        <v>42499.208333333328</v>
      </c>
    </row>
    <row r="618" spans="1:20" ht="15.75" customHeight="1" x14ac:dyDescent="0.25">
      <c r="A618" s="5">
        <v>616</v>
      </c>
      <c r="B618" s="6" t="s">
        <v>1282</v>
      </c>
      <c r="C618" s="7" t="s">
        <v>1283</v>
      </c>
      <c r="D618" s="5">
        <v>6400</v>
      </c>
      <c r="E618" s="5">
        <v>12129</v>
      </c>
      <c r="F618" s="5" t="s">
        <v>28</v>
      </c>
      <c r="G618" s="5">
        <v>238</v>
      </c>
      <c r="H618" s="5" t="s">
        <v>48</v>
      </c>
      <c r="I618" s="5" t="s">
        <v>49</v>
      </c>
      <c r="J618" s="5">
        <v>1379653200</v>
      </c>
      <c r="K618" s="5">
        <v>1379739600</v>
      </c>
      <c r="L618" s="5" t="b">
        <v>0</v>
      </c>
      <c r="M618" s="5" t="b">
        <v>1</v>
      </c>
      <c r="N618" s="5" t="s">
        <v>68</v>
      </c>
      <c r="O618" s="8">
        <f t="shared" si="515"/>
        <v>1.8951562500000001</v>
      </c>
      <c r="P618" s="9">
        <f t="shared" si="505"/>
        <v>50.962184873949582</v>
      </c>
      <c r="Q618" s="5" t="str" cm="1">
        <f t="array" ref="Q618:R618">_xlfn.TEXTSPLIT(N618,"/")</f>
        <v>music</v>
      </c>
      <c r="R618" t="str">
        <v>indie rock</v>
      </c>
      <c r="S618" s="10">
        <f t="shared" ref="S618:T618" si="622">(((J618/60)/60)/24)+DATE(1970,1,1)</f>
        <v>41537.208333333336</v>
      </c>
      <c r="T618" s="10">
        <f t="shared" si="622"/>
        <v>41538.208333333336</v>
      </c>
    </row>
    <row r="619" spans="1:20" ht="15.75" customHeight="1" x14ac:dyDescent="0.25">
      <c r="A619" s="5">
        <v>617</v>
      </c>
      <c r="B619" s="6" t="s">
        <v>1284</v>
      </c>
      <c r="C619" s="7" t="s">
        <v>1285</v>
      </c>
      <c r="D619" s="5">
        <v>1400</v>
      </c>
      <c r="E619" s="5">
        <v>3496</v>
      </c>
      <c r="F619" s="5" t="s">
        <v>28</v>
      </c>
      <c r="G619" s="5">
        <v>55</v>
      </c>
      <c r="H619" s="5" t="s">
        <v>29</v>
      </c>
      <c r="I619" s="5" t="s">
        <v>30</v>
      </c>
      <c r="J619" s="5">
        <v>1401858000</v>
      </c>
      <c r="K619" s="5">
        <v>1402722000</v>
      </c>
      <c r="L619" s="5" t="b">
        <v>0</v>
      </c>
      <c r="M619" s="5" t="b">
        <v>0</v>
      </c>
      <c r="N619" s="5" t="s">
        <v>41</v>
      </c>
      <c r="O619" s="8">
        <f t="shared" si="515"/>
        <v>2.4971428571428573</v>
      </c>
      <c r="P619" s="9">
        <f t="shared" si="505"/>
        <v>63.563636363636363</v>
      </c>
      <c r="Q619" s="5" t="str" cm="1">
        <f t="array" ref="Q619:R619">_xlfn.TEXTSPLIT(N619,"/")</f>
        <v>theater</v>
      </c>
      <c r="R619" t="str">
        <v>plays</v>
      </c>
      <c r="S619" s="10">
        <f t="shared" ref="S619:T619" si="623">(((J619/60)/60)/24)+DATE(1970,1,1)</f>
        <v>41794.208333333336</v>
      </c>
      <c r="T619" s="10">
        <f t="shared" si="623"/>
        <v>41804.208333333336</v>
      </c>
    </row>
    <row r="620" spans="1:20" ht="15.75" customHeight="1" x14ac:dyDescent="0.25">
      <c r="A620" s="5">
        <v>618</v>
      </c>
      <c r="B620" s="6" t="s">
        <v>1286</v>
      </c>
      <c r="C620" s="7" t="s">
        <v>1287</v>
      </c>
      <c r="D620" s="5">
        <v>198600</v>
      </c>
      <c r="E620" s="5">
        <v>97037</v>
      </c>
      <c r="F620" s="5" t="s">
        <v>22</v>
      </c>
      <c r="G620" s="5">
        <v>1198</v>
      </c>
      <c r="H620" s="5" t="s">
        <v>29</v>
      </c>
      <c r="I620" s="5" t="s">
        <v>30</v>
      </c>
      <c r="J620" s="5">
        <v>1367470800</v>
      </c>
      <c r="K620" s="5">
        <v>1369285200</v>
      </c>
      <c r="L620" s="5" t="b">
        <v>0</v>
      </c>
      <c r="M620" s="5" t="b">
        <v>0</v>
      </c>
      <c r="N620" s="5" t="s">
        <v>76</v>
      </c>
      <c r="O620" s="8">
        <f t="shared" si="515"/>
        <v>0.48860523665659616</v>
      </c>
      <c r="P620" s="9">
        <f t="shared" si="505"/>
        <v>80.999165275459092</v>
      </c>
      <c r="Q620" s="5" t="str" cm="1">
        <f t="array" ref="Q620:R620">_xlfn.TEXTSPLIT(N620,"/")</f>
        <v>publishing</v>
      </c>
      <c r="R620" t="str">
        <v>nonfiction</v>
      </c>
      <c r="S620" s="10">
        <f t="shared" ref="S620:T620" si="624">(((J620/60)/60)/24)+DATE(1970,1,1)</f>
        <v>41396.208333333336</v>
      </c>
      <c r="T620" s="10">
        <f t="shared" si="624"/>
        <v>41417.208333333336</v>
      </c>
    </row>
    <row r="621" spans="1:20" ht="15.75" customHeight="1" x14ac:dyDescent="0.25">
      <c r="A621" s="5">
        <v>619</v>
      </c>
      <c r="B621" s="6" t="s">
        <v>1288</v>
      </c>
      <c r="C621" s="7" t="s">
        <v>1289</v>
      </c>
      <c r="D621" s="5">
        <v>195900</v>
      </c>
      <c r="E621" s="5">
        <v>55757</v>
      </c>
      <c r="F621" s="5" t="s">
        <v>22</v>
      </c>
      <c r="G621" s="5">
        <v>648</v>
      </c>
      <c r="H621" s="5" t="s">
        <v>29</v>
      </c>
      <c r="I621" s="5" t="s">
        <v>30</v>
      </c>
      <c r="J621" s="5">
        <v>1304658000</v>
      </c>
      <c r="K621" s="5">
        <v>1304744400</v>
      </c>
      <c r="L621" s="5" t="b">
        <v>1</v>
      </c>
      <c r="M621" s="5" t="b">
        <v>1</v>
      </c>
      <c r="N621" s="5" t="s">
        <v>41</v>
      </c>
      <c r="O621" s="8">
        <f t="shared" si="515"/>
        <v>0.28461970393057684</v>
      </c>
      <c r="P621" s="9">
        <f t="shared" si="505"/>
        <v>86.044753086419746</v>
      </c>
      <c r="Q621" s="5" t="str" cm="1">
        <f t="array" ref="Q621:R621">_xlfn.TEXTSPLIT(N621,"/")</f>
        <v>theater</v>
      </c>
      <c r="R621" t="str">
        <v>plays</v>
      </c>
      <c r="S621" s="10">
        <f t="shared" ref="S621:T621" si="625">(((J621/60)/60)/24)+DATE(1970,1,1)</f>
        <v>40669.208333333336</v>
      </c>
      <c r="T621" s="10">
        <f t="shared" si="625"/>
        <v>40670.208333333336</v>
      </c>
    </row>
    <row r="622" spans="1:20" ht="15.75" customHeight="1" x14ac:dyDescent="0.25">
      <c r="A622" s="5">
        <v>620</v>
      </c>
      <c r="B622" s="6" t="s">
        <v>1290</v>
      </c>
      <c r="C622" s="7" t="s">
        <v>1291</v>
      </c>
      <c r="D622" s="5">
        <v>4300</v>
      </c>
      <c r="E622" s="5">
        <v>11525</v>
      </c>
      <c r="F622" s="5" t="s">
        <v>28</v>
      </c>
      <c r="G622" s="5">
        <v>128</v>
      </c>
      <c r="H622" s="5" t="s">
        <v>34</v>
      </c>
      <c r="I622" s="5" t="s">
        <v>35</v>
      </c>
      <c r="J622" s="5">
        <v>1467954000</v>
      </c>
      <c r="K622" s="5">
        <v>1468299600</v>
      </c>
      <c r="L622" s="5" t="b">
        <v>0</v>
      </c>
      <c r="M622" s="5" t="b">
        <v>0</v>
      </c>
      <c r="N622" s="5" t="s">
        <v>130</v>
      </c>
      <c r="O622" s="8">
        <f t="shared" si="515"/>
        <v>2.6802325581395348</v>
      </c>
      <c r="P622" s="9">
        <f t="shared" si="505"/>
        <v>90.0390625</v>
      </c>
      <c r="Q622" s="5" t="str" cm="1">
        <f t="array" ref="Q622:R622">_xlfn.TEXTSPLIT(N622,"/")</f>
        <v>photography</v>
      </c>
      <c r="R622" t="str">
        <v>photography books</v>
      </c>
      <c r="S622" s="10">
        <f t="shared" ref="S622:T622" si="626">(((J622/60)/60)/24)+DATE(1970,1,1)</f>
        <v>42559.208333333328</v>
      </c>
      <c r="T622" s="10">
        <f t="shared" si="626"/>
        <v>42563.208333333328</v>
      </c>
    </row>
    <row r="623" spans="1:20" ht="15.75" customHeight="1" x14ac:dyDescent="0.25">
      <c r="A623" s="5">
        <v>621</v>
      </c>
      <c r="B623" s="6" t="s">
        <v>1292</v>
      </c>
      <c r="C623" s="7" t="s">
        <v>1293</v>
      </c>
      <c r="D623" s="5">
        <v>25600</v>
      </c>
      <c r="E623" s="5">
        <v>158669</v>
      </c>
      <c r="F623" s="5" t="s">
        <v>28</v>
      </c>
      <c r="G623" s="5">
        <v>2144</v>
      </c>
      <c r="H623" s="5" t="s">
        <v>29</v>
      </c>
      <c r="I623" s="5" t="s">
        <v>30</v>
      </c>
      <c r="J623" s="5">
        <v>1473742800</v>
      </c>
      <c r="K623" s="5">
        <v>1474174800</v>
      </c>
      <c r="L623" s="5" t="b">
        <v>0</v>
      </c>
      <c r="M623" s="5" t="b">
        <v>0</v>
      </c>
      <c r="N623" s="5" t="s">
        <v>41</v>
      </c>
      <c r="O623" s="8">
        <f t="shared" si="515"/>
        <v>6.1980078125000002</v>
      </c>
      <c r="P623" s="9">
        <f t="shared" si="505"/>
        <v>74.006063432835816</v>
      </c>
      <c r="Q623" s="5" t="str" cm="1">
        <f t="array" ref="Q623:R623">_xlfn.TEXTSPLIT(N623,"/")</f>
        <v>theater</v>
      </c>
      <c r="R623" t="str">
        <v>plays</v>
      </c>
      <c r="S623" s="10">
        <f t="shared" ref="S623:T623" si="627">(((J623/60)/60)/24)+DATE(1970,1,1)</f>
        <v>42626.208333333328</v>
      </c>
      <c r="T623" s="10">
        <f t="shared" si="627"/>
        <v>42631.208333333328</v>
      </c>
    </row>
    <row r="624" spans="1:20" ht="15.75" customHeight="1" x14ac:dyDescent="0.25">
      <c r="A624" s="5">
        <v>622</v>
      </c>
      <c r="B624" s="6" t="s">
        <v>1294</v>
      </c>
      <c r="C624" s="7" t="s">
        <v>1295</v>
      </c>
      <c r="D624" s="5">
        <v>189000</v>
      </c>
      <c r="E624" s="5">
        <v>5916</v>
      </c>
      <c r="F624" s="5" t="s">
        <v>22</v>
      </c>
      <c r="G624" s="5">
        <v>64</v>
      </c>
      <c r="H624" s="5" t="s">
        <v>29</v>
      </c>
      <c r="I624" s="5" t="s">
        <v>30</v>
      </c>
      <c r="J624" s="5">
        <v>1523768400</v>
      </c>
      <c r="K624" s="5">
        <v>1526014800</v>
      </c>
      <c r="L624" s="5" t="b">
        <v>0</v>
      </c>
      <c r="M624" s="5" t="b">
        <v>0</v>
      </c>
      <c r="N624" s="5" t="s">
        <v>68</v>
      </c>
      <c r="O624" s="8">
        <f t="shared" si="515"/>
        <v>3.1301587301587303E-2</v>
      </c>
      <c r="P624" s="9">
        <f t="shared" si="505"/>
        <v>92.4375</v>
      </c>
      <c r="Q624" s="5" t="str" cm="1">
        <f t="array" ref="Q624:R624">_xlfn.TEXTSPLIT(N624,"/")</f>
        <v>music</v>
      </c>
      <c r="R624" t="str">
        <v>indie rock</v>
      </c>
      <c r="S624" s="10">
        <f t="shared" ref="S624:T624" si="628">(((J624/60)/60)/24)+DATE(1970,1,1)</f>
        <v>43205.208333333328</v>
      </c>
      <c r="T624" s="10">
        <f t="shared" si="628"/>
        <v>43231.208333333328</v>
      </c>
    </row>
    <row r="625" spans="1:20" ht="15.75" customHeight="1" x14ac:dyDescent="0.25">
      <c r="A625" s="5">
        <v>623</v>
      </c>
      <c r="B625" s="6" t="s">
        <v>1296</v>
      </c>
      <c r="C625" s="7" t="s">
        <v>1297</v>
      </c>
      <c r="D625" s="5">
        <v>94300</v>
      </c>
      <c r="E625" s="5">
        <v>150806</v>
      </c>
      <c r="F625" s="5" t="s">
        <v>28</v>
      </c>
      <c r="G625" s="5">
        <v>2693</v>
      </c>
      <c r="H625" s="5" t="s">
        <v>48</v>
      </c>
      <c r="I625" s="5" t="s">
        <v>49</v>
      </c>
      <c r="J625" s="5">
        <v>1437022800</v>
      </c>
      <c r="K625" s="5">
        <v>1437454800</v>
      </c>
      <c r="L625" s="5" t="b">
        <v>0</v>
      </c>
      <c r="M625" s="5" t="b">
        <v>0</v>
      </c>
      <c r="N625" s="5" t="s">
        <v>41</v>
      </c>
      <c r="O625" s="8">
        <f t="shared" si="515"/>
        <v>1.5992152704135738</v>
      </c>
      <c r="P625" s="9">
        <f t="shared" si="505"/>
        <v>55.999257333828446</v>
      </c>
      <c r="Q625" s="5" t="str" cm="1">
        <f t="array" ref="Q625:R625">_xlfn.TEXTSPLIT(N625,"/")</f>
        <v>theater</v>
      </c>
      <c r="R625" t="str">
        <v>plays</v>
      </c>
      <c r="S625" s="10">
        <f t="shared" ref="S625:T625" si="629">(((J625/60)/60)/24)+DATE(1970,1,1)</f>
        <v>42201.208333333328</v>
      </c>
      <c r="T625" s="10">
        <f t="shared" si="629"/>
        <v>42206.208333333328</v>
      </c>
    </row>
    <row r="626" spans="1:20" ht="15.75" customHeight="1" x14ac:dyDescent="0.25">
      <c r="A626" s="5">
        <v>624</v>
      </c>
      <c r="B626" s="6" t="s">
        <v>1298</v>
      </c>
      <c r="C626" s="7" t="s">
        <v>1299</v>
      </c>
      <c r="D626" s="5">
        <v>5100</v>
      </c>
      <c r="E626" s="5">
        <v>14249</v>
      </c>
      <c r="F626" s="5" t="s">
        <v>28</v>
      </c>
      <c r="G626" s="5">
        <v>432</v>
      </c>
      <c r="H626" s="5" t="s">
        <v>29</v>
      </c>
      <c r="I626" s="5" t="s">
        <v>30</v>
      </c>
      <c r="J626" s="5">
        <v>1422165600</v>
      </c>
      <c r="K626" s="5">
        <v>1422684000</v>
      </c>
      <c r="L626" s="5" t="b">
        <v>0</v>
      </c>
      <c r="M626" s="5" t="b">
        <v>0</v>
      </c>
      <c r="N626" s="5" t="s">
        <v>130</v>
      </c>
      <c r="O626" s="8">
        <f t="shared" si="515"/>
        <v>2.793921568627451</v>
      </c>
      <c r="P626" s="9">
        <f t="shared" si="505"/>
        <v>32.983796296296298</v>
      </c>
      <c r="Q626" s="5" t="str" cm="1">
        <f t="array" ref="Q626:R626">_xlfn.TEXTSPLIT(N626,"/")</f>
        <v>photography</v>
      </c>
      <c r="R626" t="str">
        <v>photography books</v>
      </c>
      <c r="S626" s="10">
        <f t="shared" ref="S626:T626" si="630">(((J626/60)/60)/24)+DATE(1970,1,1)</f>
        <v>42029.25</v>
      </c>
      <c r="T626" s="10">
        <f t="shared" si="630"/>
        <v>42035.25</v>
      </c>
    </row>
    <row r="627" spans="1:20" ht="15.75" customHeight="1" x14ac:dyDescent="0.25">
      <c r="A627" s="5">
        <v>625</v>
      </c>
      <c r="B627" s="6" t="s">
        <v>1300</v>
      </c>
      <c r="C627" s="7" t="s">
        <v>1301</v>
      </c>
      <c r="D627" s="5">
        <v>7500</v>
      </c>
      <c r="E627" s="5">
        <v>5803</v>
      </c>
      <c r="F627" s="5" t="s">
        <v>22</v>
      </c>
      <c r="G627" s="5">
        <v>62</v>
      </c>
      <c r="H627" s="5" t="s">
        <v>29</v>
      </c>
      <c r="I627" s="5" t="s">
        <v>30</v>
      </c>
      <c r="J627" s="5">
        <v>1580104800</v>
      </c>
      <c r="K627" s="5">
        <v>1581314400</v>
      </c>
      <c r="L627" s="5" t="b">
        <v>0</v>
      </c>
      <c r="M627" s="5" t="b">
        <v>0</v>
      </c>
      <c r="N627" s="5" t="s">
        <v>41</v>
      </c>
      <c r="O627" s="8">
        <f t="shared" si="515"/>
        <v>0.77373333333333338</v>
      </c>
      <c r="P627" s="9">
        <f t="shared" si="505"/>
        <v>93.596774193548384</v>
      </c>
      <c r="Q627" s="5" t="str" cm="1">
        <f t="array" ref="Q627:R627">_xlfn.TEXTSPLIT(N627,"/")</f>
        <v>theater</v>
      </c>
      <c r="R627" t="str">
        <v>plays</v>
      </c>
      <c r="S627" s="10">
        <f t="shared" ref="S627:T627" si="631">(((J627/60)/60)/24)+DATE(1970,1,1)</f>
        <v>43857.25</v>
      </c>
      <c r="T627" s="10">
        <f t="shared" si="631"/>
        <v>43871.25</v>
      </c>
    </row>
    <row r="628" spans="1:20" ht="15.75" customHeight="1" x14ac:dyDescent="0.25">
      <c r="A628" s="5">
        <v>626</v>
      </c>
      <c r="B628" s="6" t="s">
        <v>1302</v>
      </c>
      <c r="C628" s="7" t="s">
        <v>1303</v>
      </c>
      <c r="D628" s="5">
        <v>6400</v>
      </c>
      <c r="E628" s="5">
        <v>13205</v>
      </c>
      <c r="F628" s="5" t="s">
        <v>28</v>
      </c>
      <c r="G628" s="5">
        <v>189</v>
      </c>
      <c r="H628" s="5" t="s">
        <v>29</v>
      </c>
      <c r="I628" s="5" t="s">
        <v>30</v>
      </c>
      <c r="J628" s="5">
        <v>1285650000</v>
      </c>
      <c r="K628" s="5">
        <v>1286427600</v>
      </c>
      <c r="L628" s="5" t="b">
        <v>0</v>
      </c>
      <c r="M628" s="5" t="b">
        <v>1</v>
      </c>
      <c r="N628" s="5" t="s">
        <v>41</v>
      </c>
      <c r="O628" s="8">
        <f t="shared" si="515"/>
        <v>2.0632812500000002</v>
      </c>
      <c r="P628" s="9">
        <f t="shared" si="505"/>
        <v>69.867724867724874</v>
      </c>
      <c r="Q628" s="5" t="str" cm="1">
        <f t="array" ref="Q628:R628">_xlfn.TEXTSPLIT(N628,"/")</f>
        <v>theater</v>
      </c>
      <c r="R628" t="str">
        <v>plays</v>
      </c>
      <c r="S628" s="10">
        <f t="shared" ref="S628:T628" si="632">(((J628/60)/60)/24)+DATE(1970,1,1)</f>
        <v>40449.208333333336</v>
      </c>
      <c r="T628" s="10">
        <f t="shared" si="632"/>
        <v>40458.208333333336</v>
      </c>
    </row>
    <row r="629" spans="1:20" ht="15.75" customHeight="1" x14ac:dyDescent="0.25">
      <c r="A629" s="5">
        <v>627</v>
      </c>
      <c r="B629" s="6" t="s">
        <v>1304</v>
      </c>
      <c r="C629" s="7" t="s">
        <v>1305</v>
      </c>
      <c r="D629" s="5">
        <v>1600</v>
      </c>
      <c r="E629" s="5">
        <v>11108</v>
      </c>
      <c r="F629" s="5" t="s">
        <v>28</v>
      </c>
      <c r="G629" s="5">
        <v>154</v>
      </c>
      <c r="H629" s="5" t="s">
        <v>48</v>
      </c>
      <c r="I629" s="5" t="s">
        <v>49</v>
      </c>
      <c r="J629" s="5">
        <v>1276664400</v>
      </c>
      <c r="K629" s="5">
        <v>1278738000</v>
      </c>
      <c r="L629" s="5" t="b">
        <v>1</v>
      </c>
      <c r="M629" s="5" t="b">
        <v>0</v>
      </c>
      <c r="N629" s="5" t="s">
        <v>25</v>
      </c>
      <c r="O629" s="8">
        <f t="shared" si="515"/>
        <v>6.9424999999999999</v>
      </c>
      <c r="P629" s="9">
        <f t="shared" si="505"/>
        <v>72.129870129870127</v>
      </c>
      <c r="Q629" s="5" t="str" cm="1">
        <f t="array" ref="Q629:R629">_xlfn.TEXTSPLIT(N629,"/")</f>
        <v>food</v>
      </c>
      <c r="R629" t="str">
        <v>food trucks</v>
      </c>
      <c r="S629" s="10">
        <f t="shared" ref="S629:T629" si="633">(((J629/60)/60)/24)+DATE(1970,1,1)</f>
        <v>40345.208333333336</v>
      </c>
      <c r="T629" s="10">
        <f t="shared" si="633"/>
        <v>40369.208333333336</v>
      </c>
    </row>
    <row r="630" spans="1:20" ht="15.75" customHeight="1" x14ac:dyDescent="0.25">
      <c r="A630" s="5">
        <v>628</v>
      </c>
      <c r="B630" s="6" t="s">
        <v>1306</v>
      </c>
      <c r="C630" s="7" t="s">
        <v>1307</v>
      </c>
      <c r="D630" s="5">
        <v>1900</v>
      </c>
      <c r="E630" s="5">
        <v>2884</v>
      </c>
      <c r="F630" s="5" t="s">
        <v>28</v>
      </c>
      <c r="G630" s="5">
        <v>96</v>
      </c>
      <c r="H630" s="5" t="s">
        <v>29</v>
      </c>
      <c r="I630" s="5" t="s">
        <v>30</v>
      </c>
      <c r="J630" s="5">
        <v>1286168400</v>
      </c>
      <c r="K630" s="5">
        <v>1286427600</v>
      </c>
      <c r="L630" s="5" t="b">
        <v>0</v>
      </c>
      <c r="M630" s="5" t="b">
        <v>0</v>
      </c>
      <c r="N630" s="5" t="s">
        <v>68</v>
      </c>
      <c r="O630" s="8">
        <f t="shared" si="515"/>
        <v>1.5178947368421052</v>
      </c>
      <c r="P630" s="9">
        <f t="shared" si="505"/>
        <v>30.041666666666668</v>
      </c>
      <c r="Q630" s="5" t="str" cm="1">
        <f t="array" ref="Q630:R630">_xlfn.TEXTSPLIT(N630,"/")</f>
        <v>music</v>
      </c>
      <c r="R630" t="str">
        <v>indie rock</v>
      </c>
      <c r="S630" s="10">
        <f t="shared" ref="S630:T630" si="634">(((J630/60)/60)/24)+DATE(1970,1,1)</f>
        <v>40455.208333333336</v>
      </c>
      <c r="T630" s="10">
        <f t="shared" si="634"/>
        <v>40458.208333333336</v>
      </c>
    </row>
    <row r="631" spans="1:20" ht="15.75" customHeight="1" x14ac:dyDescent="0.25">
      <c r="A631" s="5">
        <v>629</v>
      </c>
      <c r="B631" s="6" t="s">
        <v>1308</v>
      </c>
      <c r="C631" s="7" t="s">
        <v>1309</v>
      </c>
      <c r="D631" s="5">
        <v>85900</v>
      </c>
      <c r="E631" s="5">
        <v>55476</v>
      </c>
      <c r="F631" s="5" t="s">
        <v>22</v>
      </c>
      <c r="G631" s="5">
        <v>750</v>
      </c>
      <c r="H631" s="5" t="s">
        <v>29</v>
      </c>
      <c r="I631" s="5" t="s">
        <v>30</v>
      </c>
      <c r="J631" s="5">
        <v>1467781200</v>
      </c>
      <c r="K631" s="5">
        <v>1467954000</v>
      </c>
      <c r="L631" s="5" t="b">
        <v>0</v>
      </c>
      <c r="M631" s="5" t="b">
        <v>1</v>
      </c>
      <c r="N631" s="5" t="s">
        <v>41</v>
      </c>
      <c r="O631" s="8">
        <f t="shared" si="515"/>
        <v>0.64582072176949945</v>
      </c>
      <c r="P631" s="9">
        <f t="shared" si="505"/>
        <v>73.968000000000004</v>
      </c>
      <c r="Q631" s="5" t="str" cm="1">
        <f t="array" ref="Q631:R631">_xlfn.TEXTSPLIT(N631,"/")</f>
        <v>theater</v>
      </c>
      <c r="R631" t="str">
        <v>plays</v>
      </c>
      <c r="S631" s="10">
        <f t="shared" ref="S631:T631" si="635">(((J631/60)/60)/24)+DATE(1970,1,1)</f>
        <v>42557.208333333328</v>
      </c>
      <c r="T631" s="10">
        <f t="shared" si="635"/>
        <v>42559.208333333328</v>
      </c>
    </row>
    <row r="632" spans="1:20" ht="15.75" customHeight="1" x14ac:dyDescent="0.25">
      <c r="A632" s="5">
        <v>630</v>
      </c>
      <c r="B632" s="6" t="s">
        <v>1310</v>
      </c>
      <c r="C632" s="7" t="s">
        <v>1311</v>
      </c>
      <c r="D632" s="5">
        <v>9500</v>
      </c>
      <c r="E632" s="5">
        <v>5973</v>
      </c>
      <c r="F632" s="5" t="s">
        <v>82</v>
      </c>
      <c r="G632" s="5">
        <v>87</v>
      </c>
      <c r="H632" s="5" t="s">
        <v>29</v>
      </c>
      <c r="I632" s="5" t="s">
        <v>30</v>
      </c>
      <c r="J632" s="5">
        <v>1556686800</v>
      </c>
      <c r="K632" s="5">
        <v>1557637200</v>
      </c>
      <c r="L632" s="5" t="b">
        <v>0</v>
      </c>
      <c r="M632" s="5" t="b">
        <v>1</v>
      </c>
      <c r="N632" s="5" t="s">
        <v>41</v>
      </c>
      <c r="O632" s="8">
        <f t="shared" si="515"/>
        <v>0.62873684210526315</v>
      </c>
      <c r="P632" s="9">
        <f t="shared" si="505"/>
        <v>68.65517241379311</v>
      </c>
      <c r="Q632" s="5" t="str" cm="1">
        <f t="array" ref="Q632:R632">_xlfn.TEXTSPLIT(N632,"/")</f>
        <v>theater</v>
      </c>
      <c r="R632" t="str">
        <v>plays</v>
      </c>
      <c r="S632" s="10">
        <f t="shared" ref="S632:T632" si="636">(((J632/60)/60)/24)+DATE(1970,1,1)</f>
        <v>43586.208333333328</v>
      </c>
      <c r="T632" s="10">
        <f t="shared" si="636"/>
        <v>43597.208333333328</v>
      </c>
    </row>
    <row r="633" spans="1:20" ht="15.75" customHeight="1" x14ac:dyDescent="0.25">
      <c r="A633" s="5">
        <v>631</v>
      </c>
      <c r="B633" s="6" t="s">
        <v>1312</v>
      </c>
      <c r="C633" s="7" t="s">
        <v>1313</v>
      </c>
      <c r="D633" s="5">
        <v>59200</v>
      </c>
      <c r="E633" s="5">
        <v>183756</v>
      </c>
      <c r="F633" s="5" t="s">
        <v>28</v>
      </c>
      <c r="G633" s="5">
        <v>3063</v>
      </c>
      <c r="H633" s="5" t="s">
        <v>29</v>
      </c>
      <c r="I633" s="5" t="s">
        <v>30</v>
      </c>
      <c r="J633" s="5">
        <v>1553576400</v>
      </c>
      <c r="K633" s="5">
        <v>1553922000</v>
      </c>
      <c r="L633" s="5" t="b">
        <v>0</v>
      </c>
      <c r="M633" s="5" t="b">
        <v>0</v>
      </c>
      <c r="N633" s="5" t="s">
        <v>41</v>
      </c>
      <c r="O633" s="8">
        <f t="shared" si="515"/>
        <v>3.1039864864864866</v>
      </c>
      <c r="P633" s="9">
        <f t="shared" si="505"/>
        <v>59.992164544564154</v>
      </c>
      <c r="Q633" s="5" t="str" cm="1">
        <f t="array" ref="Q633:R633">_xlfn.TEXTSPLIT(N633,"/")</f>
        <v>theater</v>
      </c>
      <c r="R633" t="str">
        <v>plays</v>
      </c>
      <c r="S633" s="10">
        <f t="shared" ref="S633:T633" si="637">(((J633/60)/60)/24)+DATE(1970,1,1)</f>
        <v>43550.208333333328</v>
      </c>
      <c r="T633" s="10">
        <f t="shared" si="637"/>
        <v>43554.208333333328</v>
      </c>
    </row>
    <row r="634" spans="1:20" ht="15.75" customHeight="1" x14ac:dyDescent="0.25">
      <c r="A634" s="5">
        <v>632</v>
      </c>
      <c r="B634" s="6" t="s">
        <v>1314</v>
      </c>
      <c r="C634" s="7" t="s">
        <v>1315</v>
      </c>
      <c r="D634" s="5">
        <v>72100</v>
      </c>
      <c r="E634" s="5">
        <v>30902</v>
      </c>
      <c r="F634" s="5" t="s">
        <v>55</v>
      </c>
      <c r="G634" s="5">
        <v>278</v>
      </c>
      <c r="H634" s="5" t="s">
        <v>29</v>
      </c>
      <c r="I634" s="5" t="s">
        <v>30</v>
      </c>
      <c r="J634" s="5">
        <v>1414904400</v>
      </c>
      <c r="K634" s="5">
        <v>1416463200</v>
      </c>
      <c r="L634" s="5" t="b">
        <v>0</v>
      </c>
      <c r="M634" s="5" t="b">
        <v>0</v>
      </c>
      <c r="N634" s="5" t="s">
        <v>41</v>
      </c>
      <c r="O634" s="8">
        <f t="shared" si="515"/>
        <v>0.42859916782246882</v>
      </c>
      <c r="P634" s="9">
        <f t="shared" si="505"/>
        <v>111.15827338129496</v>
      </c>
      <c r="Q634" s="5" t="str" cm="1">
        <f t="array" ref="Q634:R634">_xlfn.TEXTSPLIT(N634,"/")</f>
        <v>theater</v>
      </c>
      <c r="R634" t="str">
        <v>plays</v>
      </c>
      <c r="S634" s="10">
        <f t="shared" ref="S634:T634" si="638">(((J634/60)/60)/24)+DATE(1970,1,1)</f>
        <v>41945.208333333336</v>
      </c>
      <c r="T634" s="10">
        <f t="shared" si="638"/>
        <v>41963.25</v>
      </c>
    </row>
    <row r="635" spans="1:20" ht="15.75" customHeight="1" x14ac:dyDescent="0.25">
      <c r="A635" s="5">
        <v>633</v>
      </c>
      <c r="B635" s="6" t="s">
        <v>1316</v>
      </c>
      <c r="C635" s="7" t="s">
        <v>1317</v>
      </c>
      <c r="D635" s="5">
        <v>6700</v>
      </c>
      <c r="E635" s="5">
        <v>5569</v>
      </c>
      <c r="F635" s="5" t="s">
        <v>22</v>
      </c>
      <c r="G635" s="5">
        <v>105</v>
      </c>
      <c r="H635" s="5" t="s">
        <v>29</v>
      </c>
      <c r="I635" s="5" t="s">
        <v>30</v>
      </c>
      <c r="J635" s="5">
        <v>1446876000</v>
      </c>
      <c r="K635" s="5">
        <v>1447221600</v>
      </c>
      <c r="L635" s="5" t="b">
        <v>0</v>
      </c>
      <c r="M635" s="5" t="b">
        <v>0</v>
      </c>
      <c r="N635" s="5" t="s">
        <v>79</v>
      </c>
      <c r="O635" s="8">
        <f t="shared" si="515"/>
        <v>0.83119402985074631</v>
      </c>
      <c r="P635" s="9">
        <f t="shared" si="505"/>
        <v>53.038095238095238</v>
      </c>
      <c r="Q635" s="5" t="str" cm="1">
        <f t="array" ref="Q635:R635">_xlfn.TEXTSPLIT(N635,"/")</f>
        <v>film &amp; video</v>
      </c>
      <c r="R635" t="str">
        <v>animation</v>
      </c>
      <c r="S635" s="10">
        <f t="shared" ref="S635:T635" si="639">(((J635/60)/60)/24)+DATE(1970,1,1)</f>
        <v>42315.25</v>
      </c>
      <c r="T635" s="10">
        <f t="shared" si="639"/>
        <v>42319.25</v>
      </c>
    </row>
    <row r="636" spans="1:20" ht="15.75" customHeight="1" x14ac:dyDescent="0.25">
      <c r="A636" s="5">
        <v>634</v>
      </c>
      <c r="B636" s="6" t="s">
        <v>1318</v>
      </c>
      <c r="C636" s="7" t="s">
        <v>1319</v>
      </c>
      <c r="D636" s="5">
        <v>118200</v>
      </c>
      <c r="E636" s="5">
        <v>92824</v>
      </c>
      <c r="F636" s="5" t="s">
        <v>82</v>
      </c>
      <c r="G636" s="5">
        <v>1658</v>
      </c>
      <c r="H636" s="5" t="s">
        <v>29</v>
      </c>
      <c r="I636" s="5" t="s">
        <v>30</v>
      </c>
      <c r="J636" s="5">
        <v>1490418000</v>
      </c>
      <c r="K636" s="5">
        <v>1491627600</v>
      </c>
      <c r="L636" s="5" t="b">
        <v>0</v>
      </c>
      <c r="M636" s="5" t="b">
        <v>0</v>
      </c>
      <c r="N636" s="5" t="s">
        <v>277</v>
      </c>
      <c r="O636" s="8">
        <f t="shared" si="515"/>
        <v>0.78531302876480547</v>
      </c>
      <c r="P636" s="9">
        <f t="shared" si="505"/>
        <v>55.985524728588658</v>
      </c>
      <c r="Q636" s="5" t="str" cm="1">
        <f t="array" ref="Q636:R636">_xlfn.TEXTSPLIT(N636,"/")</f>
        <v>film &amp; video</v>
      </c>
      <c r="R636" t="str">
        <v>television</v>
      </c>
      <c r="S636" s="10">
        <f t="shared" ref="S636:T636" si="640">(((J636/60)/60)/24)+DATE(1970,1,1)</f>
        <v>42819.208333333328</v>
      </c>
      <c r="T636" s="10">
        <f t="shared" si="640"/>
        <v>42833.208333333328</v>
      </c>
    </row>
    <row r="637" spans="1:20" ht="15.75" customHeight="1" x14ac:dyDescent="0.25">
      <c r="A637" s="5">
        <v>635</v>
      </c>
      <c r="B637" s="6" t="s">
        <v>1320</v>
      </c>
      <c r="C637" s="7" t="s">
        <v>1321</v>
      </c>
      <c r="D637" s="5">
        <v>139000</v>
      </c>
      <c r="E637" s="5">
        <v>158590</v>
      </c>
      <c r="F637" s="5" t="s">
        <v>28</v>
      </c>
      <c r="G637" s="5">
        <v>2266</v>
      </c>
      <c r="H637" s="5" t="s">
        <v>29</v>
      </c>
      <c r="I637" s="5" t="s">
        <v>30</v>
      </c>
      <c r="J637" s="5">
        <v>1360389600</v>
      </c>
      <c r="K637" s="5">
        <v>1363150800</v>
      </c>
      <c r="L637" s="5" t="b">
        <v>0</v>
      </c>
      <c r="M637" s="5" t="b">
        <v>0</v>
      </c>
      <c r="N637" s="5" t="s">
        <v>277</v>
      </c>
      <c r="O637" s="8">
        <f t="shared" si="515"/>
        <v>1.1409352517985611</v>
      </c>
      <c r="P637" s="9">
        <f t="shared" si="505"/>
        <v>69.986760812003524</v>
      </c>
      <c r="Q637" s="5" t="str" cm="1">
        <f t="array" ref="Q637:R637">_xlfn.TEXTSPLIT(N637,"/")</f>
        <v>film &amp; video</v>
      </c>
      <c r="R637" t="str">
        <v>television</v>
      </c>
      <c r="S637" s="10">
        <f t="shared" ref="S637:T637" si="641">(((J637/60)/60)/24)+DATE(1970,1,1)</f>
        <v>41314.25</v>
      </c>
      <c r="T637" s="10">
        <f t="shared" si="641"/>
        <v>41346.208333333336</v>
      </c>
    </row>
    <row r="638" spans="1:20" ht="15.75" customHeight="1" x14ac:dyDescent="0.25">
      <c r="A638" s="5">
        <v>636</v>
      </c>
      <c r="B638" s="6" t="s">
        <v>1322</v>
      </c>
      <c r="C638" s="7" t="s">
        <v>1323</v>
      </c>
      <c r="D638" s="5">
        <v>197700</v>
      </c>
      <c r="E638" s="5">
        <v>127591</v>
      </c>
      <c r="F638" s="5" t="s">
        <v>22</v>
      </c>
      <c r="G638" s="5">
        <v>2604</v>
      </c>
      <c r="H638" s="5" t="s">
        <v>44</v>
      </c>
      <c r="I638" s="5" t="s">
        <v>45</v>
      </c>
      <c r="J638" s="5">
        <v>1326866400</v>
      </c>
      <c r="K638" s="5">
        <v>1330754400</v>
      </c>
      <c r="L638" s="5" t="b">
        <v>0</v>
      </c>
      <c r="M638" s="5" t="b">
        <v>1</v>
      </c>
      <c r="N638" s="5" t="s">
        <v>79</v>
      </c>
      <c r="O638" s="8">
        <f t="shared" si="515"/>
        <v>0.64537683358624176</v>
      </c>
      <c r="P638" s="9">
        <f t="shared" si="505"/>
        <v>48.998079877112133</v>
      </c>
      <c r="Q638" s="5" t="str" cm="1">
        <f t="array" ref="Q638:R638">_xlfn.TEXTSPLIT(N638,"/")</f>
        <v>film &amp; video</v>
      </c>
      <c r="R638" t="str">
        <v>animation</v>
      </c>
      <c r="S638" s="10">
        <f t="shared" ref="S638:T638" si="642">(((J638/60)/60)/24)+DATE(1970,1,1)</f>
        <v>40926.25</v>
      </c>
      <c r="T638" s="10">
        <f t="shared" si="642"/>
        <v>40971.25</v>
      </c>
    </row>
    <row r="639" spans="1:20" ht="15.75" customHeight="1" x14ac:dyDescent="0.25">
      <c r="A639" s="5">
        <v>637</v>
      </c>
      <c r="B639" s="6" t="s">
        <v>1324</v>
      </c>
      <c r="C639" s="7" t="s">
        <v>1325</v>
      </c>
      <c r="D639" s="5">
        <v>8500</v>
      </c>
      <c r="E639" s="5">
        <v>6750</v>
      </c>
      <c r="F639" s="5" t="s">
        <v>22</v>
      </c>
      <c r="G639" s="5">
        <v>65</v>
      </c>
      <c r="H639" s="5" t="s">
        <v>29</v>
      </c>
      <c r="I639" s="5" t="s">
        <v>30</v>
      </c>
      <c r="J639" s="5">
        <v>1479103200</v>
      </c>
      <c r="K639" s="5">
        <v>1479794400</v>
      </c>
      <c r="L639" s="5" t="b">
        <v>0</v>
      </c>
      <c r="M639" s="5" t="b">
        <v>0</v>
      </c>
      <c r="N639" s="5" t="s">
        <v>41</v>
      </c>
      <c r="O639" s="8">
        <f t="shared" si="515"/>
        <v>0.79411764705882348</v>
      </c>
      <c r="P639" s="9">
        <f t="shared" si="505"/>
        <v>103.84615384615384</v>
      </c>
      <c r="Q639" s="5" t="str" cm="1">
        <f t="array" ref="Q639:R639">_xlfn.TEXTSPLIT(N639,"/")</f>
        <v>theater</v>
      </c>
      <c r="R639" t="str">
        <v>plays</v>
      </c>
      <c r="S639" s="10">
        <f t="shared" ref="S639:T639" si="643">(((J639/60)/60)/24)+DATE(1970,1,1)</f>
        <v>42688.25</v>
      </c>
      <c r="T639" s="10">
        <f t="shared" si="643"/>
        <v>42696.25</v>
      </c>
    </row>
    <row r="640" spans="1:20" ht="15.75" customHeight="1" x14ac:dyDescent="0.25">
      <c r="A640" s="5">
        <v>638</v>
      </c>
      <c r="B640" s="6" t="s">
        <v>1326</v>
      </c>
      <c r="C640" s="7" t="s">
        <v>1327</v>
      </c>
      <c r="D640" s="5">
        <v>81600</v>
      </c>
      <c r="E640" s="5">
        <v>9318</v>
      </c>
      <c r="F640" s="5" t="s">
        <v>22</v>
      </c>
      <c r="G640" s="5">
        <v>94</v>
      </c>
      <c r="H640" s="5" t="s">
        <v>29</v>
      </c>
      <c r="I640" s="5" t="s">
        <v>30</v>
      </c>
      <c r="J640" s="5">
        <v>1280206800</v>
      </c>
      <c r="K640" s="5">
        <v>1281243600</v>
      </c>
      <c r="L640" s="5" t="b">
        <v>0</v>
      </c>
      <c r="M640" s="5" t="b">
        <v>1</v>
      </c>
      <c r="N640" s="5" t="s">
        <v>41</v>
      </c>
      <c r="O640" s="8">
        <f t="shared" si="515"/>
        <v>0.11419117647058824</v>
      </c>
      <c r="P640" s="9">
        <f t="shared" si="505"/>
        <v>99.127659574468083</v>
      </c>
      <c r="Q640" s="5" t="str" cm="1">
        <f t="array" ref="Q640:R640">_xlfn.TEXTSPLIT(N640,"/")</f>
        <v>theater</v>
      </c>
      <c r="R640" t="str">
        <v>plays</v>
      </c>
      <c r="S640" s="10">
        <f t="shared" ref="S640:T640" si="644">(((J640/60)/60)/24)+DATE(1970,1,1)</f>
        <v>40386.208333333336</v>
      </c>
      <c r="T640" s="10">
        <f t="shared" si="644"/>
        <v>40398.208333333336</v>
      </c>
    </row>
    <row r="641" spans="1:20" ht="15.75" customHeight="1" x14ac:dyDescent="0.25">
      <c r="A641" s="5">
        <v>639</v>
      </c>
      <c r="B641" s="6" t="s">
        <v>1328</v>
      </c>
      <c r="C641" s="7" t="s">
        <v>1329</v>
      </c>
      <c r="D641" s="5">
        <v>8600</v>
      </c>
      <c r="E641" s="5">
        <v>4832</v>
      </c>
      <c r="F641" s="5" t="s">
        <v>55</v>
      </c>
      <c r="G641" s="5">
        <v>45</v>
      </c>
      <c r="H641" s="5" t="s">
        <v>29</v>
      </c>
      <c r="I641" s="5" t="s">
        <v>30</v>
      </c>
      <c r="J641" s="5">
        <v>1532754000</v>
      </c>
      <c r="K641" s="5">
        <v>1532754000</v>
      </c>
      <c r="L641" s="5" t="b">
        <v>0</v>
      </c>
      <c r="M641" s="5" t="b">
        <v>1</v>
      </c>
      <c r="N641" s="5" t="s">
        <v>61</v>
      </c>
      <c r="O641" s="8">
        <f t="shared" si="515"/>
        <v>0.56186046511627907</v>
      </c>
      <c r="P641" s="9">
        <f t="shared" si="505"/>
        <v>107.37777777777778</v>
      </c>
      <c r="Q641" s="5" t="str" cm="1">
        <f t="array" ref="Q641:R641">_xlfn.TEXTSPLIT(N641,"/")</f>
        <v>film &amp; video</v>
      </c>
      <c r="R641" t="str">
        <v>drama</v>
      </c>
      <c r="S641" s="10">
        <f t="shared" ref="S641:T641" si="645">(((J641/60)/60)/24)+DATE(1970,1,1)</f>
        <v>43309.208333333328</v>
      </c>
      <c r="T641" s="10">
        <f t="shared" si="645"/>
        <v>43309.208333333328</v>
      </c>
    </row>
    <row r="642" spans="1:20" ht="15.75" customHeight="1" x14ac:dyDescent="0.25">
      <c r="A642" s="5">
        <v>640</v>
      </c>
      <c r="B642" s="6" t="s">
        <v>1330</v>
      </c>
      <c r="C642" s="7" t="s">
        <v>1331</v>
      </c>
      <c r="D642" s="5">
        <v>119800</v>
      </c>
      <c r="E642" s="5">
        <v>19769</v>
      </c>
      <c r="F642" s="5" t="s">
        <v>22</v>
      </c>
      <c r="G642" s="5">
        <v>257</v>
      </c>
      <c r="H642" s="5" t="s">
        <v>29</v>
      </c>
      <c r="I642" s="5" t="s">
        <v>30</v>
      </c>
      <c r="J642" s="5">
        <v>1453096800</v>
      </c>
      <c r="K642" s="5">
        <v>1453356000</v>
      </c>
      <c r="L642" s="5" t="b">
        <v>0</v>
      </c>
      <c r="M642" s="5" t="b">
        <v>0</v>
      </c>
      <c r="N642" s="5" t="s">
        <v>41</v>
      </c>
      <c r="O642" s="8">
        <f t="shared" si="515"/>
        <v>0.16501669449081802</v>
      </c>
      <c r="P642" s="9">
        <f t="shared" si="505"/>
        <v>76.922178988326849</v>
      </c>
      <c r="Q642" s="5" t="str" cm="1">
        <f t="array" ref="Q642:R642">_xlfn.TEXTSPLIT(N642,"/")</f>
        <v>theater</v>
      </c>
      <c r="R642" t="str">
        <v>plays</v>
      </c>
      <c r="S642" s="10">
        <f t="shared" ref="S642:T642" si="646">(((J642/60)/60)/24)+DATE(1970,1,1)</f>
        <v>42387.25</v>
      </c>
      <c r="T642" s="10">
        <f t="shared" si="646"/>
        <v>42390.25</v>
      </c>
    </row>
    <row r="643" spans="1:20" ht="15.75" customHeight="1" x14ac:dyDescent="0.25">
      <c r="A643" s="5">
        <v>641</v>
      </c>
      <c r="B643" s="6" t="s">
        <v>1332</v>
      </c>
      <c r="C643" s="7" t="s">
        <v>1333</v>
      </c>
      <c r="D643" s="5">
        <v>9400</v>
      </c>
      <c r="E643" s="5">
        <v>11277</v>
      </c>
      <c r="F643" s="5" t="s">
        <v>28</v>
      </c>
      <c r="G643" s="5">
        <v>194</v>
      </c>
      <c r="H643" s="5" t="s">
        <v>106</v>
      </c>
      <c r="I643" s="5" t="s">
        <v>107</v>
      </c>
      <c r="J643" s="5">
        <v>1487570400</v>
      </c>
      <c r="K643" s="5">
        <v>1489986000</v>
      </c>
      <c r="L643" s="5" t="b">
        <v>0</v>
      </c>
      <c r="M643" s="5" t="b">
        <v>0</v>
      </c>
      <c r="N643" s="5" t="s">
        <v>41</v>
      </c>
      <c r="O643" s="8">
        <f t="shared" si="515"/>
        <v>1.1996808510638297</v>
      </c>
      <c r="P643" s="9">
        <f t="shared" si="505"/>
        <v>58.128865979381445</v>
      </c>
      <c r="Q643" s="5" t="str" cm="1">
        <f t="array" ref="Q643:R643">_xlfn.TEXTSPLIT(N643,"/")</f>
        <v>theater</v>
      </c>
      <c r="R643" t="str">
        <v>plays</v>
      </c>
      <c r="S643" s="10">
        <f t="shared" ref="S643:T643" si="647">(((J643/60)/60)/24)+DATE(1970,1,1)</f>
        <v>42786.25</v>
      </c>
      <c r="T643" s="10">
        <f t="shared" si="647"/>
        <v>42814.208333333328</v>
      </c>
    </row>
    <row r="644" spans="1:20" ht="15.75" customHeight="1" x14ac:dyDescent="0.25">
      <c r="A644" s="5">
        <v>642</v>
      </c>
      <c r="B644" s="6" t="s">
        <v>1334</v>
      </c>
      <c r="C644" s="7" t="s">
        <v>1335</v>
      </c>
      <c r="D644" s="5">
        <v>9200</v>
      </c>
      <c r="E644" s="5">
        <v>13382</v>
      </c>
      <c r="F644" s="5" t="s">
        <v>28</v>
      </c>
      <c r="G644" s="5">
        <v>129</v>
      </c>
      <c r="H644" s="5" t="s">
        <v>23</v>
      </c>
      <c r="I644" s="5" t="s">
        <v>24</v>
      </c>
      <c r="J644" s="5">
        <v>1545026400</v>
      </c>
      <c r="K644" s="5">
        <v>1545804000</v>
      </c>
      <c r="L644" s="5" t="b">
        <v>0</v>
      </c>
      <c r="M644" s="5" t="b">
        <v>0</v>
      </c>
      <c r="N644" s="5" t="s">
        <v>73</v>
      </c>
      <c r="O644" s="8">
        <f t="shared" si="515"/>
        <v>1.4545652173913044</v>
      </c>
      <c r="P644" s="9">
        <f t="shared" si="505"/>
        <v>103.73643410852713</v>
      </c>
      <c r="Q644" s="5" t="str" cm="1">
        <f t="array" ref="Q644:R644">_xlfn.TEXTSPLIT(N644,"/")</f>
        <v>technology</v>
      </c>
      <c r="R644" t="str">
        <v>wearables</v>
      </c>
      <c r="S644" s="10">
        <f t="shared" ref="S644:T644" si="648">(((J644/60)/60)/24)+DATE(1970,1,1)</f>
        <v>43451.25</v>
      </c>
      <c r="T644" s="10">
        <f t="shared" si="648"/>
        <v>43460.25</v>
      </c>
    </row>
    <row r="645" spans="1:20" ht="15.75" customHeight="1" x14ac:dyDescent="0.25">
      <c r="A645" s="5">
        <v>643</v>
      </c>
      <c r="B645" s="6" t="s">
        <v>1336</v>
      </c>
      <c r="C645" s="7" t="s">
        <v>1337</v>
      </c>
      <c r="D645" s="5">
        <v>14900</v>
      </c>
      <c r="E645" s="5">
        <v>32986</v>
      </c>
      <c r="F645" s="5" t="s">
        <v>28</v>
      </c>
      <c r="G645" s="5">
        <v>375</v>
      </c>
      <c r="H645" s="5" t="s">
        <v>29</v>
      </c>
      <c r="I645" s="5" t="s">
        <v>30</v>
      </c>
      <c r="J645" s="5">
        <v>1488348000</v>
      </c>
      <c r="K645" s="5">
        <v>1489899600</v>
      </c>
      <c r="L645" s="5" t="b">
        <v>0</v>
      </c>
      <c r="M645" s="5" t="b">
        <v>0</v>
      </c>
      <c r="N645" s="5" t="s">
        <v>41</v>
      </c>
      <c r="O645" s="8">
        <f t="shared" si="515"/>
        <v>2.2138255033557046</v>
      </c>
      <c r="P645" s="9">
        <f t="shared" si="505"/>
        <v>87.962666666666664</v>
      </c>
      <c r="Q645" s="5" t="str" cm="1">
        <f t="array" ref="Q645:R645">_xlfn.TEXTSPLIT(N645,"/")</f>
        <v>theater</v>
      </c>
      <c r="R645" t="str">
        <v>plays</v>
      </c>
      <c r="S645" s="10">
        <f t="shared" ref="S645:T645" si="649">(((J645/60)/60)/24)+DATE(1970,1,1)</f>
        <v>42795.25</v>
      </c>
      <c r="T645" s="10">
        <f t="shared" si="649"/>
        <v>42813.208333333328</v>
      </c>
    </row>
    <row r="646" spans="1:20" ht="15.75" customHeight="1" x14ac:dyDescent="0.25">
      <c r="A646" s="5">
        <v>644</v>
      </c>
      <c r="B646" s="6" t="s">
        <v>1338</v>
      </c>
      <c r="C646" s="7" t="s">
        <v>1339</v>
      </c>
      <c r="D646" s="5">
        <v>169400</v>
      </c>
      <c r="E646" s="5">
        <v>81984</v>
      </c>
      <c r="F646" s="5" t="s">
        <v>22</v>
      </c>
      <c r="G646" s="5">
        <v>2928</v>
      </c>
      <c r="H646" s="5" t="s">
        <v>23</v>
      </c>
      <c r="I646" s="5" t="s">
        <v>24</v>
      </c>
      <c r="J646" s="5">
        <v>1545112800</v>
      </c>
      <c r="K646" s="5">
        <v>1546495200</v>
      </c>
      <c r="L646" s="5" t="b">
        <v>0</v>
      </c>
      <c r="M646" s="5" t="b">
        <v>0</v>
      </c>
      <c r="N646" s="5" t="s">
        <v>41</v>
      </c>
      <c r="O646" s="8">
        <f t="shared" si="515"/>
        <v>0.48396694214876035</v>
      </c>
      <c r="P646" s="9">
        <f t="shared" si="505"/>
        <v>28</v>
      </c>
      <c r="Q646" s="5" t="str" cm="1">
        <f t="array" ref="Q646:R646">_xlfn.TEXTSPLIT(N646,"/")</f>
        <v>theater</v>
      </c>
      <c r="R646" t="str">
        <v>plays</v>
      </c>
      <c r="S646" s="10">
        <f t="shared" ref="S646:T646" si="650">(((J646/60)/60)/24)+DATE(1970,1,1)</f>
        <v>43452.25</v>
      </c>
      <c r="T646" s="10">
        <f t="shared" si="650"/>
        <v>43468.25</v>
      </c>
    </row>
    <row r="647" spans="1:20" ht="15.75" customHeight="1" x14ac:dyDescent="0.25">
      <c r="A647" s="5">
        <v>645</v>
      </c>
      <c r="B647" s="6" t="s">
        <v>1340</v>
      </c>
      <c r="C647" s="7" t="s">
        <v>1341</v>
      </c>
      <c r="D647" s="5">
        <v>192100</v>
      </c>
      <c r="E647" s="5">
        <v>178483</v>
      </c>
      <c r="F647" s="5" t="s">
        <v>22</v>
      </c>
      <c r="G647" s="5">
        <v>4697</v>
      </c>
      <c r="H647" s="5" t="s">
        <v>29</v>
      </c>
      <c r="I647" s="5" t="s">
        <v>30</v>
      </c>
      <c r="J647" s="5">
        <v>1537938000</v>
      </c>
      <c r="K647" s="5">
        <v>1539752400</v>
      </c>
      <c r="L647" s="5" t="b">
        <v>0</v>
      </c>
      <c r="M647" s="5" t="b">
        <v>1</v>
      </c>
      <c r="N647" s="5" t="s">
        <v>31</v>
      </c>
      <c r="O647" s="8">
        <f t="shared" si="515"/>
        <v>0.92911504424778757</v>
      </c>
      <c r="P647" s="9">
        <f t="shared" si="505"/>
        <v>37.999361294443261</v>
      </c>
      <c r="Q647" s="5" t="str" cm="1">
        <f t="array" ref="Q647:R647">_xlfn.TEXTSPLIT(N647,"/")</f>
        <v>music</v>
      </c>
      <c r="R647" t="str">
        <v>rock</v>
      </c>
      <c r="S647" s="10">
        <f t="shared" ref="S647:T647" si="651">(((J647/60)/60)/24)+DATE(1970,1,1)</f>
        <v>43369.208333333328</v>
      </c>
      <c r="T647" s="10">
        <f t="shared" si="651"/>
        <v>43390.208333333328</v>
      </c>
    </row>
    <row r="648" spans="1:20" ht="15.75" customHeight="1" x14ac:dyDescent="0.25">
      <c r="A648" s="5">
        <v>646</v>
      </c>
      <c r="B648" s="6" t="s">
        <v>1342</v>
      </c>
      <c r="C648" s="7" t="s">
        <v>1343</v>
      </c>
      <c r="D648" s="5">
        <v>98700</v>
      </c>
      <c r="E648" s="5">
        <v>87448</v>
      </c>
      <c r="F648" s="5" t="s">
        <v>22</v>
      </c>
      <c r="G648" s="5">
        <v>2915</v>
      </c>
      <c r="H648" s="5" t="s">
        <v>29</v>
      </c>
      <c r="I648" s="5" t="s">
        <v>30</v>
      </c>
      <c r="J648" s="5">
        <v>1363150800</v>
      </c>
      <c r="K648" s="5">
        <v>1364101200</v>
      </c>
      <c r="L648" s="5" t="b">
        <v>0</v>
      </c>
      <c r="M648" s="5" t="b">
        <v>0</v>
      </c>
      <c r="N648" s="5" t="s">
        <v>97</v>
      </c>
      <c r="O648" s="8">
        <f t="shared" si="515"/>
        <v>0.88599797365754818</v>
      </c>
      <c r="P648" s="9">
        <f t="shared" si="505"/>
        <v>29.999313893653515</v>
      </c>
      <c r="Q648" s="5" t="str" cm="1">
        <f t="array" ref="Q648:R648">_xlfn.TEXTSPLIT(N648,"/")</f>
        <v>games</v>
      </c>
      <c r="R648" t="str">
        <v>video games</v>
      </c>
      <c r="S648" s="10">
        <f t="shared" ref="S648:T648" si="652">(((J648/60)/60)/24)+DATE(1970,1,1)</f>
        <v>41346.208333333336</v>
      </c>
      <c r="T648" s="10">
        <f t="shared" si="652"/>
        <v>41357.208333333336</v>
      </c>
    </row>
    <row r="649" spans="1:20" ht="15.75" customHeight="1" x14ac:dyDescent="0.25">
      <c r="A649" s="5">
        <v>647</v>
      </c>
      <c r="B649" s="6" t="s">
        <v>1344</v>
      </c>
      <c r="C649" s="7" t="s">
        <v>1345</v>
      </c>
      <c r="D649" s="5">
        <v>4500</v>
      </c>
      <c r="E649" s="5">
        <v>1863</v>
      </c>
      <c r="F649" s="5" t="s">
        <v>22</v>
      </c>
      <c r="G649" s="5">
        <v>18</v>
      </c>
      <c r="H649" s="5" t="s">
        <v>29</v>
      </c>
      <c r="I649" s="5" t="s">
        <v>30</v>
      </c>
      <c r="J649" s="5">
        <v>1523250000</v>
      </c>
      <c r="K649" s="5">
        <v>1525323600</v>
      </c>
      <c r="L649" s="5" t="b">
        <v>0</v>
      </c>
      <c r="M649" s="5" t="b">
        <v>0</v>
      </c>
      <c r="N649" s="5" t="s">
        <v>214</v>
      </c>
      <c r="O649" s="8">
        <f t="shared" si="515"/>
        <v>0.41399999999999998</v>
      </c>
      <c r="P649" s="9">
        <f t="shared" si="505"/>
        <v>103.5</v>
      </c>
      <c r="Q649" s="5" t="str" cm="1">
        <f t="array" ref="Q649:R649">_xlfn.TEXTSPLIT(N649,"/")</f>
        <v>publishing</v>
      </c>
      <c r="R649" t="str">
        <v>translations</v>
      </c>
      <c r="S649" s="10">
        <f t="shared" ref="S649:T649" si="653">(((J649/60)/60)/24)+DATE(1970,1,1)</f>
        <v>43199.208333333328</v>
      </c>
      <c r="T649" s="10">
        <f t="shared" si="653"/>
        <v>43223.208333333328</v>
      </c>
    </row>
    <row r="650" spans="1:20" ht="15.75" customHeight="1" x14ac:dyDescent="0.25">
      <c r="A650" s="5">
        <v>648</v>
      </c>
      <c r="B650" s="6" t="s">
        <v>1346</v>
      </c>
      <c r="C650" s="7" t="s">
        <v>1347</v>
      </c>
      <c r="D650" s="5">
        <v>98600</v>
      </c>
      <c r="E650" s="5">
        <v>62174</v>
      </c>
      <c r="F650" s="5" t="s">
        <v>82</v>
      </c>
      <c r="G650" s="5">
        <v>723</v>
      </c>
      <c r="H650" s="5" t="s">
        <v>29</v>
      </c>
      <c r="I650" s="5" t="s">
        <v>30</v>
      </c>
      <c r="J650" s="5">
        <v>1499317200</v>
      </c>
      <c r="K650" s="5">
        <v>1500872400</v>
      </c>
      <c r="L650" s="5" t="b">
        <v>1</v>
      </c>
      <c r="M650" s="5" t="b">
        <v>0</v>
      </c>
      <c r="N650" s="5" t="s">
        <v>25</v>
      </c>
      <c r="O650" s="8">
        <f t="shared" si="515"/>
        <v>0.63056795131845844</v>
      </c>
      <c r="P650" s="9">
        <f t="shared" si="505"/>
        <v>85.994467496542185</v>
      </c>
      <c r="Q650" s="5" t="str" cm="1">
        <f t="array" ref="Q650:R650">_xlfn.TEXTSPLIT(N650,"/")</f>
        <v>food</v>
      </c>
      <c r="R650" t="str">
        <v>food trucks</v>
      </c>
      <c r="S650" s="10">
        <f t="shared" ref="S650:T650" si="654">(((J650/60)/60)/24)+DATE(1970,1,1)</f>
        <v>42922.208333333328</v>
      </c>
      <c r="T650" s="10">
        <f t="shared" si="654"/>
        <v>42940.208333333328</v>
      </c>
    </row>
    <row r="651" spans="1:20" ht="15.75" customHeight="1" x14ac:dyDescent="0.25">
      <c r="A651" s="5">
        <v>649</v>
      </c>
      <c r="B651" s="6" t="s">
        <v>1348</v>
      </c>
      <c r="C651" s="7" t="s">
        <v>1349</v>
      </c>
      <c r="D651" s="5">
        <v>121700</v>
      </c>
      <c r="E651" s="5">
        <v>59003</v>
      </c>
      <c r="F651" s="5" t="s">
        <v>22</v>
      </c>
      <c r="G651" s="5">
        <v>602</v>
      </c>
      <c r="H651" s="5" t="s">
        <v>106</v>
      </c>
      <c r="I651" s="5" t="s">
        <v>107</v>
      </c>
      <c r="J651" s="5">
        <v>1287550800</v>
      </c>
      <c r="K651" s="5">
        <v>1288501200</v>
      </c>
      <c r="L651" s="5" t="b">
        <v>1</v>
      </c>
      <c r="M651" s="5" t="b">
        <v>1</v>
      </c>
      <c r="N651" s="5" t="s">
        <v>41</v>
      </c>
      <c r="O651" s="8">
        <f t="shared" si="515"/>
        <v>0.48482333607230893</v>
      </c>
      <c r="P651" s="9">
        <f t="shared" si="505"/>
        <v>98.011627906976742</v>
      </c>
      <c r="Q651" s="5" t="str" cm="1">
        <f t="array" ref="Q651:R651">_xlfn.TEXTSPLIT(N651,"/")</f>
        <v>theater</v>
      </c>
      <c r="R651" t="str">
        <v>plays</v>
      </c>
      <c r="S651" s="10">
        <f t="shared" ref="S651:T651" si="655">(((J651/60)/60)/24)+DATE(1970,1,1)</f>
        <v>40471.208333333336</v>
      </c>
      <c r="T651" s="10">
        <f t="shared" si="655"/>
        <v>40482.208333333336</v>
      </c>
    </row>
    <row r="652" spans="1:20" ht="15.75" customHeight="1" x14ac:dyDescent="0.25">
      <c r="A652" s="5">
        <v>650</v>
      </c>
      <c r="B652" s="6" t="s">
        <v>1350</v>
      </c>
      <c r="C652" s="7" t="s">
        <v>1351</v>
      </c>
      <c r="D652" s="5">
        <v>100</v>
      </c>
      <c r="E652" s="5">
        <v>2</v>
      </c>
      <c r="F652" s="5" t="s">
        <v>22</v>
      </c>
      <c r="G652" s="5">
        <v>1</v>
      </c>
      <c r="H652" s="5" t="s">
        <v>29</v>
      </c>
      <c r="I652" s="5" t="s">
        <v>30</v>
      </c>
      <c r="J652" s="5">
        <v>1404795600</v>
      </c>
      <c r="K652" s="5">
        <v>1407128400</v>
      </c>
      <c r="L652" s="5" t="b">
        <v>0</v>
      </c>
      <c r="M652" s="5" t="b">
        <v>0</v>
      </c>
      <c r="N652" s="5" t="s">
        <v>167</v>
      </c>
      <c r="O652" s="8">
        <f t="shared" si="515"/>
        <v>0.02</v>
      </c>
      <c r="P652" s="9">
        <f t="shared" si="505"/>
        <v>2</v>
      </c>
      <c r="Q652" s="5" t="str" cm="1">
        <f t="array" ref="Q652:R652">_xlfn.TEXTSPLIT(N652,"/")</f>
        <v>music</v>
      </c>
      <c r="R652" t="str">
        <v>jazz</v>
      </c>
      <c r="S652" s="10">
        <f t="shared" ref="S652:T652" si="656">(((J652/60)/60)/24)+DATE(1970,1,1)</f>
        <v>41828.208333333336</v>
      </c>
      <c r="T652" s="10">
        <f t="shared" si="656"/>
        <v>41855.208333333336</v>
      </c>
    </row>
    <row r="653" spans="1:20" ht="15.75" customHeight="1" x14ac:dyDescent="0.25">
      <c r="A653" s="5">
        <v>651</v>
      </c>
      <c r="B653" s="6" t="s">
        <v>1352</v>
      </c>
      <c r="C653" s="7" t="s">
        <v>1353</v>
      </c>
      <c r="D653" s="5">
        <v>196700</v>
      </c>
      <c r="E653" s="5">
        <v>174039</v>
      </c>
      <c r="F653" s="5" t="s">
        <v>22</v>
      </c>
      <c r="G653" s="5">
        <v>3868</v>
      </c>
      <c r="H653" s="5" t="s">
        <v>115</v>
      </c>
      <c r="I653" s="5" t="s">
        <v>116</v>
      </c>
      <c r="J653" s="5">
        <v>1393048800</v>
      </c>
      <c r="K653" s="5">
        <v>1394344800</v>
      </c>
      <c r="L653" s="5" t="b">
        <v>0</v>
      </c>
      <c r="M653" s="5" t="b">
        <v>0</v>
      </c>
      <c r="N653" s="5" t="s">
        <v>108</v>
      </c>
      <c r="O653" s="8">
        <f t="shared" si="515"/>
        <v>0.88479410269445857</v>
      </c>
      <c r="P653" s="9">
        <f t="shared" si="505"/>
        <v>44.994570837642193</v>
      </c>
      <c r="Q653" s="5" t="str" cm="1">
        <f t="array" ref="Q653:R653">_xlfn.TEXTSPLIT(N653,"/")</f>
        <v>film &amp; video</v>
      </c>
      <c r="R653" t="str">
        <v>shorts</v>
      </c>
      <c r="S653" s="10">
        <f t="shared" ref="S653:T653" si="657">(((J653/60)/60)/24)+DATE(1970,1,1)</f>
        <v>41692.25</v>
      </c>
      <c r="T653" s="10">
        <f t="shared" si="657"/>
        <v>41707.25</v>
      </c>
    </row>
    <row r="654" spans="1:20" ht="15.75" customHeight="1" x14ac:dyDescent="0.25">
      <c r="A654" s="5">
        <v>652</v>
      </c>
      <c r="B654" s="6" t="s">
        <v>1354</v>
      </c>
      <c r="C654" s="7" t="s">
        <v>1355</v>
      </c>
      <c r="D654" s="5">
        <v>10000</v>
      </c>
      <c r="E654" s="5">
        <v>12684</v>
      </c>
      <c r="F654" s="5" t="s">
        <v>28</v>
      </c>
      <c r="G654" s="5">
        <v>409</v>
      </c>
      <c r="H654" s="5" t="s">
        <v>29</v>
      </c>
      <c r="I654" s="5" t="s">
        <v>30</v>
      </c>
      <c r="J654" s="5">
        <v>1470373200</v>
      </c>
      <c r="K654" s="5">
        <v>1474088400</v>
      </c>
      <c r="L654" s="5" t="b">
        <v>0</v>
      </c>
      <c r="M654" s="5" t="b">
        <v>0</v>
      </c>
      <c r="N654" s="5" t="s">
        <v>36</v>
      </c>
      <c r="O654" s="8">
        <f t="shared" si="515"/>
        <v>1.2684</v>
      </c>
      <c r="P654" s="9">
        <f t="shared" si="505"/>
        <v>31.012224938875306</v>
      </c>
      <c r="Q654" s="5" t="str" cm="1">
        <f t="array" ref="Q654:R654">_xlfn.TEXTSPLIT(N654,"/")</f>
        <v>technology</v>
      </c>
      <c r="R654" t="str">
        <v>web</v>
      </c>
      <c r="S654" s="10">
        <f t="shared" ref="S654:T654" si="658">(((J654/60)/60)/24)+DATE(1970,1,1)</f>
        <v>42587.208333333328</v>
      </c>
      <c r="T654" s="10">
        <f t="shared" si="658"/>
        <v>42630.208333333328</v>
      </c>
    </row>
    <row r="655" spans="1:20" ht="15.75" customHeight="1" x14ac:dyDescent="0.25">
      <c r="A655" s="5">
        <v>653</v>
      </c>
      <c r="B655" s="6" t="s">
        <v>1356</v>
      </c>
      <c r="C655" s="7" t="s">
        <v>1357</v>
      </c>
      <c r="D655" s="5">
        <v>600</v>
      </c>
      <c r="E655" s="5">
        <v>14033</v>
      </c>
      <c r="F655" s="5" t="s">
        <v>28</v>
      </c>
      <c r="G655" s="5">
        <v>234</v>
      </c>
      <c r="H655" s="5" t="s">
        <v>29</v>
      </c>
      <c r="I655" s="5" t="s">
        <v>30</v>
      </c>
      <c r="J655" s="5">
        <v>1460091600</v>
      </c>
      <c r="K655" s="5">
        <v>1460264400</v>
      </c>
      <c r="L655" s="5" t="b">
        <v>0</v>
      </c>
      <c r="M655" s="5" t="b">
        <v>0</v>
      </c>
      <c r="N655" s="5" t="s">
        <v>36</v>
      </c>
      <c r="O655" s="8">
        <f t="shared" si="515"/>
        <v>23.388333333333332</v>
      </c>
      <c r="P655" s="9">
        <f t="shared" si="505"/>
        <v>59.970085470085472</v>
      </c>
      <c r="Q655" s="5" t="str" cm="1">
        <f t="array" ref="Q655:R655">_xlfn.TEXTSPLIT(N655,"/")</f>
        <v>technology</v>
      </c>
      <c r="R655" t="str">
        <v>web</v>
      </c>
      <c r="S655" s="10">
        <f t="shared" ref="S655:T655" si="659">(((J655/60)/60)/24)+DATE(1970,1,1)</f>
        <v>42468.208333333328</v>
      </c>
      <c r="T655" s="10">
        <f t="shared" si="659"/>
        <v>42470.208333333328</v>
      </c>
    </row>
    <row r="656" spans="1:20" ht="15.75" customHeight="1" x14ac:dyDescent="0.25">
      <c r="A656" s="5">
        <v>654</v>
      </c>
      <c r="B656" s="6" t="s">
        <v>1358</v>
      </c>
      <c r="C656" s="7" t="s">
        <v>1359</v>
      </c>
      <c r="D656" s="5">
        <v>35000</v>
      </c>
      <c r="E656" s="5">
        <v>177936</v>
      </c>
      <c r="F656" s="5" t="s">
        <v>28</v>
      </c>
      <c r="G656" s="5">
        <v>3016</v>
      </c>
      <c r="H656" s="5" t="s">
        <v>29</v>
      </c>
      <c r="I656" s="5" t="s">
        <v>30</v>
      </c>
      <c r="J656" s="5">
        <v>1440392400</v>
      </c>
      <c r="K656" s="5">
        <v>1440824400</v>
      </c>
      <c r="L656" s="5" t="b">
        <v>0</v>
      </c>
      <c r="M656" s="5" t="b">
        <v>0</v>
      </c>
      <c r="N656" s="5" t="s">
        <v>156</v>
      </c>
      <c r="O656" s="8">
        <f t="shared" si="515"/>
        <v>5.0838857142857146</v>
      </c>
      <c r="P656" s="9">
        <f t="shared" si="505"/>
        <v>58.9973474801061</v>
      </c>
      <c r="Q656" s="5" t="str" cm="1">
        <f t="array" ref="Q656:R656">_xlfn.TEXTSPLIT(N656,"/")</f>
        <v>music</v>
      </c>
      <c r="R656" t="str">
        <v>metal</v>
      </c>
      <c r="S656" s="10">
        <f t="shared" ref="S656:T656" si="660">(((J656/60)/60)/24)+DATE(1970,1,1)</f>
        <v>42240.208333333328</v>
      </c>
      <c r="T656" s="10">
        <f t="shared" si="660"/>
        <v>42245.208333333328</v>
      </c>
    </row>
    <row r="657" spans="1:20" ht="15.75" customHeight="1" x14ac:dyDescent="0.25">
      <c r="A657" s="5">
        <v>655</v>
      </c>
      <c r="B657" s="6" t="s">
        <v>1360</v>
      </c>
      <c r="C657" s="7" t="s">
        <v>1361</v>
      </c>
      <c r="D657" s="5">
        <v>6900</v>
      </c>
      <c r="E657" s="5">
        <v>13212</v>
      </c>
      <c r="F657" s="5" t="s">
        <v>28</v>
      </c>
      <c r="G657" s="5">
        <v>264</v>
      </c>
      <c r="H657" s="5" t="s">
        <v>29</v>
      </c>
      <c r="I657" s="5" t="s">
        <v>30</v>
      </c>
      <c r="J657" s="5">
        <v>1488434400</v>
      </c>
      <c r="K657" s="5">
        <v>1489554000</v>
      </c>
      <c r="L657" s="5" t="b">
        <v>1</v>
      </c>
      <c r="M657" s="5" t="b">
        <v>0</v>
      </c>
      <c r="N657" s="5" t="s">
        <v>130</v>
      </c>
      <c r="O657" s="8">
        <f t="shared" si="515"/>
        <v>1.9147826086956521</v>
      </c>
      <c r="P657" s="9">
        <f t="shared" si="505"/>
        <v>50.045454545454547</v>
      </c>
      <c r="Q657" s="5" t="str" cm="1">
        <f t="array" ref="Q657:R657">_xlfn.TEXTSPLIT(N657,"/")</f>
        <v>photography</v>
      </c>
      <c r="R657" t="str">
        <v>photography books</v>
      </c>
      <c r="S657" s="10">
        <f t="shared" ref="S657:T657" si="661">(((J657/60)/60)/24)+DATE(1970,1,1)</f>
        <v>42796.25</v>
      </c>
      <c r="T657" s="10">
        <f t="shared" si="661"/>
        <v>42809.208333333328</v>
      </c>
    </row>
    <row r="658" spans="1:20" ht="15.75" customHeight="1" x14ac:dyDescent="0.25">
      <c r="A658" s="5">
        <v>656</v>
      </c>
      <c r="B658" s="6" t="s">
        <v>1362</v>
      </c>
      <c r="C658" s="7" t="s">
        <v>1363</v>
      </c>
      <c r="D658" s="5">
        <v>118400</v>
      </c>
      <c r="E658" s="5">
        <v>49879</v>
      </c>
      <c r="F658" s="5" t="s">
        <v>22</v>
      </c>
      <c r="G658" s="5">
        <v>504</v>
      </c>
      <c r="H658" s="5" t="s">
        <v>34</v>
      </c>
      <c r="I658" s="5" t="s">
        <v>35</v>
      </c>
      <c r="J658" s="5">
        <v>1514440800</v>
      </c>
      <c r="K658" s="5">
        <v>1514872800</v>
      </c>
      <c r="L658" s="5" t="b">
        <v>0</v>
      </c>
      <c r="M658" s="5" t="b">
        <v>0</v>
      </c>
      <c r="N658" s="5" t="s">
        <v>25</v>
      </c>
      <c r="O658" s="8">
        <f t="shared" si="515"/>
        <v>0.42127533783783783</v>
      </c>
      <c r="P658" s="9">
        <f t="shared" si="505"/>
        <v>98.966269841269835</v>
      </c>
      <c r="Q658" s="5" t="str" cm="1">
        <f t="array" ref="Q658:R658">_xlfn.TEXTSPLIT(N658,"/")</f>
        <v>food</v>
      </c>
      <c r="R658" t="str">
        <v>food trucks</v>
      </c>
      <c r="S658" s="10">
        <f t="shared" ref="S658:T658" si="662">(((J658/60)/60)/24)+DATE(1970,1,1)</f>
        <v>43097.25</v>
      </c>
      <c r="T658" s="10">
        <f t="shared" si="662"/>
        <v>43102.25</v>
      </c>
    </row>
    <row r="659" spans="1:20" ht="15.75" customHeight="1" x14ac:dyDescent="0.25">
      <c r="A659" s="5">
        <v>657</v>
      </c>
      <c r="B659" s="6" t="s">
        <v>1364</v>
      </c>
      <c r="C659" s="7" t="s">
        <v>1365</v>
      </c>
      <c r="D659" s="5">
        <v>10000</v>
      </c>
      <c r="E659" s="5">
        <v>824</v>
      </c>
      <c r="F659" s="5" t="s">
        <v>22</v>
      </c>
      <c r="G659" s="5">
        <v>14</v>
      </c>
      <c r="H659" s="5" t="s">
        <v>29</v>
      </c>
      <c r="I659" s="5" t="s">
        <v>30</v>
      </c>
      <c r="J659" s="5">
        <v>1514354400</v>
      </c>
      <c r="K659" s="5">
        <v>1515736800</v>
      </c>
      <c r="L659" s="5" t="b">
        <v>0</v>
      </c>
      <c r="M659" s="5" t="b">
        <v>0</v>
      </c>
      <c r="N659" s="5" t="s">
        <v>482</v>
      </c>
      <c r="O659" s="8">
        <f t="shared" si="515"/>
        <v>8.2400000000000001E-2</v>
      </c>
      <c r="P659" s="9">
        <f t="shared" si="505"/>
        <v>58.857142857142854</v>
      </c>
      <c r="Q659" s="5" t="str" cm="1">
        <f t="array" ref="Q659:R659">_xlfn.TEXTSPLIT(N659,"/")</f>
        <v>film &amp; video</v>
      </c>
      <c r="R659" t="str">
        <v>science fiction</v>
      </c>
      <c r="S659" s="10">
        <f t="shared" ref="S659:T659" si="663">(((J659/60)/60)/24)+DATE(1970,1,1)</f>
        <v>43096.25</v>
      </c>
      <c r="T659" s="10">
        <f t="shared" si="663"/>
        <v>43112.25</v>
      </c>
    </row>
    <row r="660" spans="1:20" ht="15.75" customHeight="1" x14ac:dyDescent="0.25">
      <c r="A660" s="5">
        <v>658</v>
      </c>
      <c r="B660" s="6" t="s">
        <v>1366</v>
      </c>
      <c r="C660" s="7" t="s">
        <v>1367</v>
      </c>
      <c r="D660" s="5">
        <v>52600</v>
      </c>
      <c r="E660" s="5">
        <v>31594</v>
      </c>
      <c r="F660" s="5" t="s">
        <v>82</v>
      </c>
      <c r="G660" s="5">
        <v>390</v>
      </c>
      <c r="H660" s="5" t="s">
        <v>29</v>
      </c>
      <c r="I660" s="5" t="s">
        <v>30</v>
      </c>
      <c r="J660" s="5">
        <v>1440910800</v>
      </c>
      <c r="K660" s="5">
        <v>1442898000</v>
      </c>
      <c r="L660" s="5" t="b">
        <v>0</v>
      </c>
      <c r="M660" s="5" t="b">
        <v>0</v>
      </c>
      <c r="N660" s="5" t="s">
        <v>31</v>
      </c>
      <c r="O660" s="8">
        <f t="shared" si="515"/>
        <v>0.60064638783269964</v>
      </c>
      <c r="P660" s="9">
        <f t="shared" si="505"/>
        <v>81.010256410256417</v>
      </c>
      <c r="Q660" s="5" t="str" cm="1">
        <f t="array" ref="Q660:R660">_xlfn.TEXTSPLIT(N660,"/")</f>
        <v>music</v>
      </c>
      <c r="R660" t="str">
        <v>rock</v>
      </c>
      <c r="S660" s="10">
        <f t="shared" ref="S660:T660" si="664">(((J660/60)/60)/24)+DATE(1970,1,1)</f>
        <v>42246.208333333328</v>
      </c>
      <c r="T660" s="10">
        <f t="shared" si="664"/>
        <v>42269.208333333328</v>
      </c>
    </row>
    <row r="661" spans="1:20" ht="15.75" customHeight="1" x14ac:dyDescent="0.25">
      <c r="A661" s="5">
        <v>659</v>
      </c>
      <c r="B661" s="6" t="s">
        <v>1368</v>
      </c>
      <c r="C661" s="7" t="s">
        <v>1369</v>
      </c>
      <c r="D661" s="5">
        <v>120700</v>
      </c>
      <c r="E661" s="5">
        <v>57010</v>
      </c>
      <c r="F661" s="5" t="s">
        <v>22</v>
      </c>
      <c r="G661" s="5">
        <v>750</v>
      </c>
      <c r="H661" s="5" t="s">
        <v>48</v>
      </c>
      <c r="I661" s="5" t="s">
        <v>49</v>
      </c>
      <c r="J661" s="5">
        <v>1296108000</v>
      </c>
      <c r="K661" s="5">
        <v>1296194400</v>
      </c>
      <c r="L661" s="5" t="b">
        <v>0</v>
      </c>
      <c r="M661" s="5" t="b">
        <v>0</v>
      </c>
      <c r="N661" s="5" t="s">
        <v>50</v>
      </c>
      <c r="O661" s="8">
        <f t="shared" si="515"/>
        <v>0.47232808616404309</v>
      </c>
      <c r="P661" s="9">
        <f t="shared" si="505"/>
        <v>76.013333333333335</v>
      </c>
      <c r="Q661" s="5" t="str" cm="1">
        <f t="array" ref="Q661:R661">_xlfn.TEXTSPLIT(N661,"/")</f>
        <v>film &amp; video</v>
      </c>
      <c r="R661" t="str">
        <v>documentary</v>
      </c>
      <c r="S661" s="10">
        <f t="shared" ref="S661:T661" si="665">(((J661/60)/60)/24)+DATE(1970,1,1)</f>
        <v>40570.25</v>
      </c>
      <c r="T661" s="10">
        <f t="shared" si="665"/>
        <v>40571.25</v>
      </c>
    </row>
    <row r="662" spans="1:20" ht="15.75" customHeight="1" x14ac:dyDescent="0.25">
      <c r="A662" s="5">
        <v>660</v>
      </c>
      <c r="B662" s="6" t="s">
        <v>1370</v>
      </c>
      <c r="C662" s="7" t="s">
        <v>1371</v>
      </c>
      <c r="D662" s="5">
        <v>9100</v>
      </c>
      <c r="E662" s="5">
        <v>7438</v>
      </c>
      <c r="F662" s="5" t="s">
        <v>22</v>
      </c>
      <c r="G662" s="5">
        <v>77</v>
      </c>
      <c r="H662" s="5" t="s">
        <v>29</v>
      </c>
      <c r="I662" s="5" t="s">
        <v>30</v>
      </c>
      <c r="J662" s="5">
        <v>1440133200</v>
      </c>
      <c r="K662" s="5">
        <v>1440910800</v>
      </c>
      <c r="L662" s="5" t="b">
        <v>1</v>
      </c>
      <c r="M662" s="5" t="b">
        <v>0</v>
      </c>
      <c r="N662" s="5" t="s">
        <v>41</v>
      </c>
      <c r="O662" s="8">
        <f t="shared" si="515"/>
        <v>0.81736263736263737</v>
      </c>
      <c r="P662" s="9">
        <f t="shared" si="505"/>
        <v>96.597402597402592</v>
      </c>
      <c r="Q662" s="5" t="str" cm="1">
        <f t="array" ref="Q662:R662">_xlfn.TEXTSPLIT(N662,"/")</f>
        <v>theater</v>
      </c>
      <c r="R662" t="str">
        <v>plays</v>
      </c>
      <c r="S662" s="10">
        <f t="shared" ref="S662:T662" si="666">(((J662/60)/60)/24)+DATE(1970,1,1)</f>
        <v>42237.208333333328</v>
      </c>
      <c r="T662" s="10">
        <f t="shared" si="666"/>
        <v>42246.208333333328</v>
      </c>
    </row>
    <row r="663" spans="1:20" ht="15.75" customHeight="1" x14ac:dyDescent="0.25">
      <c r="A663" s="5">
        <v>661</v>
      </c>
      <c r="B663" s="6" t="s">
        <v>1372</v>
      </c>
      <c r="C663" s="7" t="s">
        <v>1373</v>
      </c>
      <c r="D663" s="5">
        <v>106800</v>
      </c>
      <c r="E663" s="5">
        <v>57872</v>
      </c>
      <c r="F663" s="5" t="s">
        <v>22</v>
      </c>
      <c r="G663" s="5">
        <v>752</v>
      </c>
      <c r="H663" s="5" t="s">
        <v>44</v>
      </c>
      <c r="I663" s="5" t="s">
        <v>45</v>
      </c>
      <c r="J663" s="5">
        <v>1332910800</v>
      </c>
      <c r="K663" s="5">
        <v>1335502800</v>
      </c>
      <c r="L663" s="5" t="b">
        <v>0</v>
      </c>
      <c r="M663" s="5" t="b">
        <v>0</v>
      </c>
      <c r="N663" s="5" t="s">
        <v>167</v>
      </c>
      <c r="O663" s="8">
        <f t="shared" si="515"/>
        <v>0.54187265917603</v>
      </c>
      <c r="P663" s="9">
        <f t="shared" si="505"/>
        <v>76.957446808510639</v>
      </c>
      <c r="Q663" s="5" t="str" cm="1">
        <f t="array" ref="Q663:R663">_xlfn.TEXTSPLIT(N663,"/")</f>
        <v>music</v>
      </c>
      <c r="R663" t="str">
        <v>jazz</v>
      </c>
      <c r="S663" s="10">
        <f t="shared" ref="S663:T663" si="667">(((J663/60)/60)/24)+DATE(1970,1,1)</f>
        <v>40996.208333333336</v>
      </c>
      <c r="T663" s="10">
        <f t="shared" si="667"/>
        <v>41026.208333333336</v>
      </c>
    </row>
    <row r="664" spans="1:20" ht="15.75" customHeight="1" x14ac:dyDescent="0.25">
      <c r="A664" s="5">
        <v>662</v>
      </c>
      <c r="B664" s="6" t="s">
        <v>1374</v>
      </c>
      <c r="C664" s="7" t="s">
        <v>1375</v>
      </c>
      <c r="D664" s="5">
        <v>9100</v>
      </c>
      <c r="E664" s="5">
        <v>8906</v>
      </c>
      <c r="F664" s="5" t="s">
        <v>22</v>
      </c>
      <c r="G664" s="5">
        <v>131</v>
      </c>
      <c r="H664" s="5" t="s">
        <v>29</v>
      </c>
      <c r="I664" s="5" t="s">
        <v>30</v>
      </c>
      <c r="J664" s="5">
        <v>1544335200</v>
      </c>
      <c r="K664" s="5">
        <v>1544680800</v>
      </c>
      <c r="L664" s="5" t="b">
        <v>0</v>
      </c>
      <c r="M664" s="5" t="b">
        <v>0</v>
      </c>
      <c r="N664" s="5" t="s">
        <v>41</v>
      </c>
      <c r="O664" s="8">
        <f t="shared" si="515"/>
        <v>0.97868131868131869</v>
      </c>
      <c r="P664" s="9">
        <f t="shared" si="505"/>
        <v>67.984732824427482</v>
      </c>
      <c r="Q664" s="5" t="str" cm="1">
        <f t="array" ref="Q664:R664">_xlfn.TEXTSPLIT(N664,"/")</f>
        <v>theater</v>
      </c>
      <c r="R664" t="str">
        <v>plays</v>
      </c>
      <c r="S664" s="10">
        <f t="shared" ref="S664:T664" si="668">(((J664/60)/60)/24)+DATE(1970,1,1)</f>
        <v>43443.25</v>
      </c>
      <c r="T664" s="10">
        <f t="shared" si="668"/>
        <v>43447.25</v>
      </c>
    </row>
    <row r="665" spans="1:20" ht="15.75" customHeight="1" x14ac:dyDescent="0.25">
      <c r="A665" s="5">
        <v>663</v>
      </c>
      <c r="B665" s="6" t="s">
        <v>1376</v>
      </c>
      <c r="C665" s="7" t="s">
        <v>1377</v>
      </c>
      <c r="D665" s="5">
        <v>10000</v>
      </c>
      <c r="E665" s="5">
        <v>7724</v>
      </c>
      <c r="F665" s="5" t="s">
        <v>22</v>
      </c>
      <c r="G665" s="5">
        <v>87</v>
      </c>
      <c r="H665" s="5" t="s">
        <v>29</v>
      </c>
      <c r="I665" s="5" t="s">
        <v>30</v>
      </c>
      <c r="J665" s="5">
        <v>1286427600</v>
      </c>
      <c r="K665" s="5">
        <v>1288414800</v>
      </c>
      <c r="L665" s="5" t="b">
        <v>0</v>
      </c>
      <c r="M665" s="5" t="b">
        <v>0</v>
      </c>
      <c r="N665" s="5" t="s">
        <v>41</v>
      </c>
      <c r="O665" s="8">
        <f t="shared" si="515"/>
        <v>0.77239999999999998</v>
      </c>
      <c r="P665" s="9">
        <f t="shared" si="505"/>
        <v>88.781609195402297</v>
      </c>
      <c r="Q665" s="5" t="str" cm="1">
        <f t="array" ref="Q665:R665">_xlfn.TEXTSPLIT(N665,"/")</f>
        <v>theater</v>
      </c>
      <c r="R665" t="str">
        <v>plays</v>
      </c>
      <c r="S665" s="10">
        <f t="shared" ref="S665:T665" si="669">(((J665/60)/60)/24)+DATE(1970,1,1)</f>
        <v>40458.208333333336</v>
      </c>
      <c r="T665" s="10">
        <f t="shared" si="669"/>
        <v>40481.208333333336</v>
      </c>
    </row>
    <row r="666" spans="1:20" ht="15.75" customHeight="1" x14ac:dyDescent="0.25">
      <c r="A666" s="5">
        <v>664</v>
      </c>
      <c r="B666" s="6" t="s">
        <v>716</v>
      </c>
      <c r="C666" s="7" t="s">
        <v>1378</v>
      </c>
      <c r="D666" s="5">
        <v>79400</v>
      </c>
      <c r="E666" s="5">
        <v>26571</v>
      </c>
      <c r="F666" s="5" t="s">
        <v>22</v>
      </c>
      <c r="G666" s="5">
        <v>1063</v>
      </c>
      <c r="H666" s="5" t="s">
        <v>29</v>
      </c>
      <c r="I666" s="5" t="s">
        <v>30</v>
      </c>
      <c r="J666" s="5">
        <v>1329717600</v>
      </c>
      <c r="K666" s="5">
        <v>1330581600</v>
      </c>
      <c r="L666" s="5" t="b">
        <v>0</v>
      </c>
      <c r="M666" s="5" t="b">
        <v>0</v>
      </c>
      <c r="N666" s="5" t="s">
        <v>167</v>
      </c>
      <c r="O666" s="8">
        <f t="shared" si="515"/>
        <v>0.33464735516372796</v>
      </c>
      <c r="P666" s="9">
        <f t="shared" si="505"/>
        <v>24.99623706491063</v>
      </c>
      <c r="Q666" s="5" t="str" cm="1">
        <f t="array" ref="Q666:R666">_xlfn.TEXTSPLIT(N666,"/")</f>
        <v>music</v>
      </c>
      <c r="R666" t="str">
        <v>jazz</v>
      </c>
      <c r="S666" s="10">
        <f t="shared" ref="S666:T666" si="670">(((J666/60)/60)/24)+DATE(1970,1,1)</f>
        <v>40959.25</v>
      </c>
      <c r="T666" s="10">
        <f t="shared" si="670"/>
        <v>40969.25</v>
      </c>
    </row>
    <row r="667" spans="1:20" ht="15.75" customHeight="1" x14ac:dyDescent="0.25">
      <c r="A667" s="5">
        <v>665</v>
      </c>
      <c r="B667" s="6" t="s">
        <v>1379</v>
      </c>
      <c r="C667" s="7" t="s">
        <v>1380</v>
      </c>
      <c r="D667" s="5">
        <v>5100</v>
      </c>
      <c r="E667" s="5">
        <v>12219</v>
      </c>
      <c r="F667" s="5" t="s">
        <v>28</v>
      </c>
      <c r="G667" s="5">
        <v>272</v>
      </c>
      <c r="H667" s="5" t="s">
        <v>29</v>
      </c>
      <c r="I667" s="5" t="s">
        <v>30</v>
      </c>
      <c r="J667" s="5">
        <v>1310187600</v>
      </c>
      <c r="K667" s="5">
        <v>1311397200</v>
      </c>
      <c r="L667" s="5" t="b">
        <v>0</v>
      </c>
      <c r="M667" s="5" t="b">
        <v>1</v>
      </c>
      <c r="N667" s="5" t="s">
        <v>50</v>
      </c>
      <c r="O667" s="8">
        <f t="shared" si="515"/>
        <v>2.3958823529411766</v>
      </c>
      <c r="P667" s="9">
        <f t="shared" si="505"/>
        <v>44.922794117647058</v>
      </c>
      <c r="Q667" s="5" t="str" cm="1">
        <f t="array" ref="Q667:R667">_xlfn.TEXTSPLIT(N667,"/")</f>
        <v>film &amp; video</v>
      </c>
      <c r="R667" t="str">
        <v>documentary</v>
      </c>
      <c r="S667" s="10">
        <f t="shared" ref="S667:T667" si="671">(((J667/60)/60)/24)+DATE(1970,1,1)</f>
        <v>40733.208333333336</v>
      </c>
      <c r="T667" s="10">
        <f t="shared" si="671"/>
        <v>40747.208333333336</v>
      </c>
    </row>
    <row r="668" spans="1:20" ht="15.75" customHeight="1" x14ac:dyDescent="0.25">
      <c r="A668" s="5">
        <v>666</v>
      </c>
      <c r="B668" s="6" t="s">
        <v>1381</v>
      </c>
      <c r="C668" s="7" t="s">
        <v>1382</v>
      </c>
      <c r="D668" s="5">
        <v>3100</v>
      </c>
      <c r="E668" s="5">
        <v>1985</v>
      </c>
      <c r="F668" s="5" t="s">
        <v>82</v>
      </c>
      <c r="G668" s="5">
        <v>25</v>
      </c>
      <c r="H668" s="5" t="s">
        <v>29</v>
      </c>
      <c r="I668" s="5" t="s">
        <v>30</v>
      </c>
      <c r="J668" s="5">
        <v>1377838800</v>
      </c>
      <c r="K668" s="5">
        <v>1378357200</v>
      </c>
      <c r="L668" s="5" t="b">
        <v>0</v>
      </c>
      <c r="M668" s="5" t="b">
        <v>1</v>
      </c>
      <c r="N668" s="5" t="s">
        <v>41</v>
      </c>
      <c r="O668" s="8">
        <f t="shared" si="515"/>
        <v>0.64032258064516134</v>
      </c>
      <c r="P668" s="9">
        <f t="shared" si="505"/>
        <v>79.400000000000006</v>
      </c>
      <c r="Q668" s="5" t="str" cm="1">
        <f t="array" ref="Q668:R668">_xlfn.TEXTSPLIT(N668,"/")</f>
        <v>theater</v>
      </c>
      <c r="R668" t="str">
        <v>plays</v>
      </c>
      <c r="S668" s="10">
        <f t="shared" ref="S668:T668" si="672">(((J668/60)/60)/24)+DATE(1970,1,1)</f>
        <v>41516.208333333336</v>
      </c>
      <c r="T668" s="10">
        <f t="shared" si="672"/>
        <v>41522.208333333336</v>
      </c>
    </row>
    <row r="669" spans="1:20" ht="15.75" customHeight="1" x14ac:dyDescent="0.25">
      <c r="A669" s="5">
        <v>667</v>
      </c>
      <c r="B669" s="6" t="s">
        <v>1383</v>
      </c>
      <c r="C669" s="7" t="s">
        <v>1384</v>
      </c>
      <c r="D669" s="5">
        <v>6900</v>
      </c>
      <c r="E669" s="5">
        <v>12155</v>
      </c>
      <c r="F669" s="5" t="s">
        <v>28</v>
      </c>
      <c r="G669" s="5">
        <v>419</v>
      </c>
      <c r="H669" s="5" t="s">
        <v>29</v>
      </c>
      <c r="I669" s="5" t="s">
        <v>30</v>
      </c>
      <c r="J669" s="5">
        <v>1410325200</v>
      </c>
      <c r="K669" s="5">
        <v>1411102800</v>
      </c>
      <c r="L669" s="5" t="b">
        <v>0</v>
      </c>
      <c r="M669" s="5" t="b">
        <v>0</v>
      </c>
      <c r="N669" s="5" t="s">
        <v>1037</v>
      </c>
      <c r="O669" s="8">
        <f t="shared" si="515"/>
        <v>1.7615942028985507</v>
      </c>
      <c r="P669" s="9">
        <f t="shared" si="505"/>
        <v>29.009546539379475</v>
      </c>
      <c r="Q669" s="5" t="str" cm="1">
        <f t="array" ref="Q669:R669">_xlfn.TEXTSPLIT(N669,"/")</f>
        <v>journalism</v>
      </c>
      <c r="R669" t="str">
        <v>audio</v>
      </c>
      <c r="S669" s="10">
        <f t="shared" ref="S669:T669" si="673">(((J669/60)/60)/24)+DATE(1970,1,1)</f>
        <v>41892.208333333336</v>
      </c>
      <c r="T669" s="10">
        <f t="shared" si="673"/>
        <v>41901.208333333336</v>
      </c>
    </row>
    <row r="670" spans="1:20" ht="15.75" customHeight="1" x14ac:dyDescent="0.25">
      <c r="A670" s="5">
        <v>668</v>
      </c>
      <c r="B670" s="6" t="s">
        <v>1385</v>
      </c>
      <c r="C670" s="7" t="s">
        <v>1386</v>
      </c>
      <c r="D670" s="5">
        <v>27500</v>
      </c>
      <c r="E670" s="5">
        <v>5593</v>
      </c>
      <c r="F670" s="5" t="s">
        <v>22</v>
      </c>
      <c r="G670" s="5">
        <v>76</v>
      </c>
      <c r="H670" s="5" t="s">
        <v>29</v>
      </c>
      <c r="I670" s="5" t="s">
        <v>30</v>
      </c>
      <c r="J670" s="5">
        <v>1343797200</v>
      </c>
      <c r="K670" s="5">
        <v>1344834000</v>
      </c>
      <c r="L670" s="5" t="b">
        <v>0</v>
      </c>
      <c r="M670" s="5" t="b">
        <v>0</v>
      </c>
      <c r="N670" s="5" t="s">
        <v>41</v>
      </c>
      <c r="O670" s="8">
        <f t="shared" si="515"/>
        <v>0.20338181818181819</v>
      </c>
      <c r="P670" s="9">
        <f t="shared" si="505"/>
        <v>73.59210526315789</v>
      </c>
      <c r="Q670" s="5" t="str" cm="1">
        <f t="array" ref="Q670:R670">_xlfn.TEXTSPLIT(N670,"/")</f>
        <v>theater</v>
      </c>
      <c r="R670" t="str">
        <v>plays</v>
      </c>
      <c r="S670" s="10">
        <f t="shared" ref="S670:T670" si="674">(((J670/60)/60)/24)+DATE(1970,1,1)</f>
        <v>41122.208333333336</v>
      </c>
      <c r="T670" s="10">
        <f t="shared" si="674"/>
        <v>41134.208333333336</v>
      </c>
    </row>
    <row r="671" spans="1:20" ht="15.75" customHeight="1" x14ac:dyDescent="0.25">
      <c r="A671" s="5">
        <v>669</v>
      </c>
      <c r="B671" s="6" t="s">
        <v>1387</v>
      </c>
      <c r="C671" s="7" t="s">
        <v>1388</v>
      </c>
      <c r="D671" s="5">
        <v>48800</v>
      </c>
      <c r="E671" s="5">
        <v>175020</v>
      </c>
      <c r="F671" s="5" t="s">
        <v>28</v>
      </c>
      <c r="G671" s="5">
        <v>1621</v>
      </c>
      <c r="H671" s="5" t="s">
        <v>115</v>
      </c>
      <c r="I671" s="5" t="s">
        <v>116</v>
      </c>
      <c r="J671" s="5">
        <v>1498453200</v>
      </c>
      <c r="K671" s="5">
        <v>1499230800</v>
      </c>
      <c r="L671" s="5" t="b">
        <v>0</v>
      </c>
      <c r="M671" s="5" t="b">
        <v>0</v>
      </c>
      <c r="N671" s="5" t="s">
        <v>41</v>
      </c>
      <c r="O671" s="8">
        <f t="shared" si="515"/>
        <v>3.5864754098360656</v>
      </c>
      <c r="P671" s="9">
        <f t="shared" si="505"/>
        <v>107.97038864898211</v>
      </c>
      <c r="Q671" s="5" t="str" cm="1">
        <f t="array" ref="Q671:R671">_xlfn.TEXTSPLIT(N671,"/")</f>
        <v>theater</v>
      </c>
      <c r="R671" t="str">
        <v>plays</v>
      </c>
      <c r="S671" s="10">
        <f t="shared" ref="S671:T671" si="675">(((J671/60)/60)/24)+DATE(1970,1,1)</f>
        <v>42912.208333333328</v>
      </c>
      <c r="T671" s="10">
        <f t="shared" si="675"/>
        <v>42921.208333333328</v>
      </c>
    </row>
    <row r="672" spans="1:20" ht="15.75" customHeight="1" x14ac:dyDescent="0.25">
      <c r="A672" s="5">
        <v>670</v>
      </c>
      <c r="B672" s="6" t="s">
        <v>1342</v>
      </c>
      <c r="C672" s="7" t="s">
        <v>1389</v>
      </c>
      <c r="D672" s="5">
        <v>16200</v>
      </c>
      <c r="E672" s="5">
        <v>75955</v>
      </c>
      <c r="F672" s="5" t="s">
        <v>28</v>
      </c>
      <c r="G672" s="5">
        <v>1101</v>
      </c>
      <c r="H672" s="5" t="s">
        <v>29</v>
      </c>
      <c r="I672" s="5" t="s">
        <v>30</v>
      </c>
      <c r="J672" s="5">
        <v>1456380000</v>
      </c>
      <c r="K672" s="5">
        <v>1457416800</v>
      </c>
      <c r="L672" s="5" t="b">
        <v>0</v>
      </c>
      <c r="M672" s="5" t="b">
        <v>0</v>
      </c>
      <c r="N672" s="5" t="s">
        <v>68</v>
      </c>
      <c r="O672" s="8">
        <f t="shared" si="515"/>
        <v>4.6885802469135802</v>
      </c>
      <c r="P672" s="9">
        <f t="shared" si="505"/>
        <v>68.987284287011803</v>
      </c>
      <c r="Q672" s="5" t="str" cm="1">
        <f t="array" ref="Q672:R672">_xlfn.TEXTSPLIT(N672,"/")</f>
        <v>music</v>
      </c>
      <c r="R672" t="str">
        <v>indie rock</v>
      </c>
      <c r="S672" s="10">
        <f t="shared" ref="S672:T672" si="676">(((J672/60)/60)/24)+DATE(1970,1,1)</f>
        <v>42425.25</v>
      </c>
      <c r="T672" s="10">
        <f t="shared" si="676"/>
        <v>42437.25</v>
      </c>
    </row>
    <row r="673" spans="1:20" ht="15.75" customHeight="1" x14ac:dyDescent="0.25">
      <c r="A673" s="5">
        <v>671</v>
      </c>
      <c r="B673" s="6" t="s">
        <v>1390</v>
      </c>
      <c r="C673" s="7" t="s">
        <v>1391</v>
      </c>
      <c r="D673" s="5">
        <v>97600</v>
      </c>
      <c r="E673" s="5">
        <v>119127</v>
      </c>
      <c r="F673" s="5" t="s">
        <v>28</v>
      </c>
      <c r="G673" s="5">
        <v>1073</v>
      </c>
      <c r="H673" s="5" t="s">
        <v>29</v>
      </c>
      <c r="I673" s="5" t="s">
        <v>30</v>
      </c>
      <c r="J673" s="5">
        <v>1280552400</v>
      </c>
      <c r="K673" s="5">
        <v>1280898000</v>
      </c>
      <c r="L673" s="5" t="b">
        <v>0</v>
      </c>
      <c r="M673" s="5" t="b">
        <v>1</v>
      </c>
      <c r="N673" s="5" t="s">
        <v>41</v>
      </c>
      <c r="O673" s="8">
        <f t="shared" si="515"/>
        <v>1.220563524590164</v>
      </c>
      <c r="P673" s="9">
        <f t="shared" si="505"/>
        <v>111.02236719478098</v>
      </c>
      <c r="Q673" s="5" t="str" cm="1">
        <f t="array" ref="Q673:R673">_xlfn.TEXTSPLIT(N673,"/")</f>
        <v>theater</v>
      </c>
      <c r="R673" t="str">
        <v>plays</v>
      </c>
      <c r="S673" s="10">
        <f t="shared" ref="S673:T673" si="677">(((J673/60)/60)/24)+DATE(1970,1,1)</f>
        <v>40390.208333333336</v>
      </c>
      <c r="T673" s="10">
        <f t="shared" si="677"/>
        <v>40394.208333333336</v>
      </c>
    </row>
    <row r="674" spans="1:20" ht="15.75" customHeight="1" x14ac:dyDescent="0.25">
      <c r="A674" s="5">
        <v>672</v>
      </c>
      <c r="B674" s="6" t="s">
        <v>1392</v>
      </c>
      <c r="C674" s="7" t="s">
        <v>1393</v>
      </c>
      <c r="D674" s="5">
        <v>197900</v>
      </c>
      <c r="E674" s="5">
        <v>110689</v>
      </c>
      <c r="F674" s="5" t="s">
        <v>22</v>
      </c>
      <c r="G674" s="5">
        <v>4428</v>
      </c>
      <c r="H674" s="5" t="s">
        <v>34</v>
      </c>
      <c r="I674" s="5" t="s">
        <v>35</v>
      </c>
      <c r="J674" s="5">
        <v>1521608400</v>
      </c>
      <c r="K674" s="5">
        <v>1522472400</v>
      </c>
      <c r="L674" s="5" t="b">
        <v>0</v>
      </c>
      <c r="M674" s="5" t="b">
        <v>0</v>
      </c>
      <c r="N674" s="5" t="s">
        <v>41</v>
      </c>
      <c r="O674" s="8">
        <f t="shared" si="515"/>
        <v>0.55931783729156137</v>
      </c>
      <c r="P674" s="9">
        <f t="shared" si="505"/>
        <v>24.997515808491418</v>
      </c>
      <c r="Q674" s="5" t="str" cm="1">
        <f t="array" ref="Q674:R674">_xlfn.TEXTSPLIT(N674,"/")</f>
        <v>theater</v>
      </c>
      <c r="R674" t="str">
        <v>plays</v>
      </c>
      <c r="S674" s="10">
        <f t="shared" ref="S674:T674" si="678">(((J674/60)/60)/24)+DATE(1970,1,1)</f>
        <v>43180.208333333328</v>
      </c>
      <c r="T674" s="10">
        <f t="shared" si="678"/>
        <v>43190.208333333328</v>
      </c>
    </row>
    <row r="675" spans="1:20" ht="15.75" customHeight="1" x14ac:dyDescent="0.25">
      <c r="A675" s="5">
        <v>673</v>
      </c>
      <c r="B675" s="6" t="s">
        <v>1394</v>
      </c>
      <c r="C675" s="7" t="s">
        <v>1395</v>
      </c>
      <c r="D675" s="5">
        <v>5600</v>
      </c>
      <c r="E675" s="5">
        <v>2445</v>
      </c>
      <c r="F675" s="5" t="s">
        <v>22</v>
      </c>
      <c r="G675" s="5">
        <v>58</v>
      </c>
      <c r="H675" s="5" t="s">
        <v>115</v>
      </c>
      <c r="I675" s="5" t="s">
        <v>116</v>
      </c>
      <c r="J675" s="5">
        <v>1460696400</v>
      </c>
      <c r="K675" s="5">
        <v>1462510800</v>
      </c>
      <c r="L675" s="5" t="b">
        <v>0</v>
      </c>
      <c r="M675" s="5" t="b">
        <v>0</v>
      </c>
      <c r="N675" s="5" t="s">
        <v>68</v>
      </c>
      <c r="O675" s="8">
        <f t="shared" si="515"/>
        <v>0.43660714285714286</v>
      </c>
      <c r="P675" s="9">
        <f t="shared" si="505"/>
        <v>42.155172413793103</v>
      </c>
      <c r="Q675" s="5" t="str" cm="1">
        <f t="array" ref="Q675:R675">_xlfn.TEXTSPLIT(N675,"/")</f>
        <v>music</v>
      </c>
      <c r="R675" t="str">
        <v>indie rock</v>
      </c>
      <c r="S675" s="10">
        <f t="shared" ref="S675:T675" si="679">(((J675/60)/60)/24)+DATE(1970,1,1)</f>
        <v>42475.208333333328</v>
      </c>
      <c r="T675" s="10">
        <f t="shared" si="679"/>
        <v>42496.208333333328</v>
      </c>
    </row>
    <row r="676" spans="1:20" ht="15.75" customHeight="1" x14ac:dyDescent="0.25">
      <c r="A676" s="5">
        <v>674</v>
      </c>
      <c r="B676" s="6" t="s">
        <v>1396</v>
      </c>
      <c r="C676" s="7" t="s">
        <v>1397</v>
      </c>
      <c r="D676" s="5">
        <v>170700</v>
      </c>
      <c r="E676" s="5">
        <v>57250</v>
      </c>
      <c r="F676" s="5" t="s">
        <v>82</v>
      </c>
      <c r="G676" s="5">
        <v>1218</v>
      </c>
      <c r="H676" s="5" t="s">
        <v>29</v>
      </c>
      <c r="I676" s="5" t="s">
        <v>30</v>
      </c>
      <c r="J676" s="5">
        <v>1313730000</v>
      </c>
      <c r="K676" s="5">
        <v>1317790800</v>
      </c>
      <c r="L676" s="5" t="b">
        <v>0</v>
      </c>
      <c r="M676" s="5" t="b">
        <v>0</v>
      </c>
      <c r="N676" s="5" t="s">
        <v>130</v>
      </c>
      <c r="O676" s="8">
        <f t="shared" si="515"/>
        <v>0.33538371411833628</v>
      </c>
      <c r="P676" s="9">
        <f t="shared" si="505"/>
        <v>47.003284072249592</v>
      </c>
      <c r="Q676" s="5" t="str" cm="1">
        <f t="array" ref="Q676:R676">_xlfn.TEXTSPLIT(N676,"/")</f>
        <v>photography</v>
      </c>
      <c r="R676" t="str">
        <v>photography books</v>
      </c>
      <c r="S676" s="10">
        <f t="shared" ref="S676:T676" si="680">(((J676/60)/60)/24)+DATE(1970,1,1)</f>
        <v>40774.208333333336</v>
      </c>
      <c r="T676" s="10">
        <f t="shared" si="680"/>
        <v>40821.208333333336</v>
      </c>
    </row>
    <row r="677" spans="1:20" ht="15.75" customHeight="1" x14ac:dyDescent="0.25">
      <c r="A677" s="5">
        <v>675</v>
      </c>
      <c r="B677" s="6" t="s">
        <v>1398</v>
      </c>
      <c r="C677" s="7" t="s">
        <v>1399</v>
      </c>
      <c r="D677" s="5">
        <v>9700</v>
      </c>
      <c r="E677" s="5">
        <v>11929</v>
      </c>
      <c r="F677" s="5" t="s">
        <v>28</v>
      </c>
      <c r="G677" s="5">
        <v>331</v>
      </c>
      <c r="H677" s="5" t="s">
        <v>29</v>
      </c>
      <c r="I677" s="5" t="s">
        <v>30</v>
      </c>
      <c r="J677" s="5">
        <v>1568178000</v>
      </c>
      <c r="K677" s="5">
        <v>1568782800</v>
      </c>
      <c r="L677" s="5" t="b">
        <v>0</v>
      </c>
      <c r="M677" s="5" t="b">
        <v>0</v>
      </c>
      <c r="N677" s="5" t="s">
        <v>1037</v>
      </c>
      <c r="O677" s="8">
        <f t="shared" si="515"/>
        <v>1.2297938144329896</v>
      </c>
      <c r="P677" s="9">
        <f t="shared" si="505"/>
        <v>36.0392749244713</v>
      </c>
      <c r="Q677" s="5" t="str" cm="1">
        <f t="array" ref="Q677:R677">_xlfn.TEXTSPLIT(N677,"/")</f>
        <v>journalism</v>
      </c>
      <c r="R677" t="str">
        <v>audio</v>
      </c>
      <c r="S677" s="10">
        <f t="shared" ref="S677:T677" si="681">(((J677/60)/60)/24)+DATE(1970,1,1)</f>
        <v>43719.208333333328</v>
      </c>
      <c r="T677" s="10">
        <f t="shared" si="681"/>
        <v>43726.208333333328</v>
      </c>
    </row>
    <row r="678" spans="1:20" ht="15.75" customHeight="1" x14ac:dyDescent="0.25">
      <c r="A678" s="5">
        <v>676</v>
      </c>
      <c r="B678" s="6" t="s">
        <v>1400</v>
      </c>
      <c r="C678" s="7" t="s">
        <v>1401</v>
      </c>
      <c r="D678" s="5">
        <v>62300</v>
      </c>
      <c r="E678" s="5">
        <v>118214</v>
      </c>
      <c r="F678" s="5" t="s">
        <v>28</v>
      </c>
      <c r="G678" s="5">
        <v>1170</v>
      </c>
      <c r="H678" s="5" t="s">
        <v>29</v>
      </c>
      <c r="I678" s="5" t="s">
        <v>30</v>
      </c>
      <c r="J678" s="5">
        <v>1348635600</v>
      </c>
      <c r="K678" s="5">
        <v>1349413200</v>
      </c>
      <c r="L678" s="5" t="b">
        <v>0</v>
      </c>
      <c r="M678" s="5" t="b">
        <v>0</v>
      </c>
      <c r="N678" s="5" t="s">
        <v>130</v>
      </c>
      <c r="O678" s="8">
        <f t="shared" si="515"/>
        <v>1.8974959871589085</v>
      </c>
      <c r="P678" s="9">
        <f t="shared" si="505"/>
        <v>101.03760683760684</v>
      </c>
      <c r="Q678" s="5" t="str" cm="1">
        <f t="array" ref="Q678:R678">_xlfn.TEXTSPLIT(N678,"/")</f>
        <v>photography</v>
      </c>
      <c r="R678" t="str">
        <v>photography books</v>
      </c>
      <c r="S678" s="10">
        <f t="shared" ref="S678:T678" si="682">(((J678/60)/60)/24)+DATE(1970,1,1)</f>
        <v>41178.208333333336</v>
      </c>
      <c r="T678" s="10">
        <f t="shared" si="682"/>
        <v>41187.208333333336</v>
      </c>
    </row>
    <row r="679" spans="1:20" ht="15.75" customHeight="1" x14ac:dyDescent="0.25">
      <c r="A679" s="5">
        <v>677</v>
      </c>
      <c r="B679" s="6" t="s">
        <v>1402</v>
      </c>
      <c r="C679" s="7" t="s">
        <v>1403</v>
      </c>
      <c r="D679" s="5">
        <v>5300</v>
      </c>
      <c r="E679" s="5">
        <v>4432</v>
      </c>
      <c r="F679" s="5" t="s">
        <v>22</v>
      </c>
      <c r="G679" s="5">
        <v>111</v>
      </c>
      <c r="H679" s="5" t="s">
        <v>29</v>
      </c>
      <c r="I679" s="5" t="s">
        <v>30</v>
      </c>
      <c r="J679" s="5">
        <v>1468126800</v>
      </c>
      <c r="K679" s="5">
        <v>1472446800</v>
      </c>
      <c r="L679" s="5" t="b">
        <v>0</v>
      </c>
      <c r="M679" s="5" t="b">
        <v>0</v>
      </c>
      <c r="N679" s="5" t="s">
        <v>127</v>
      </c>
      <c r="O679" s="8">
        <f t="shared" si="515"/>
        <v>0.83622641509433959</v>
      </c>
      <c r="P679" s="9">
        <f t="shared" si="505"/>
        <v>39.927927927927925</v>
      </c>
      <c r="Q679" s="5" t="str" cm="1">
        <f t="array" ref="Q679:R679">_xlfn.TEXTSPLIT(N679,"/")</f>
        <v>publishing</v>
      </c>
      <c r="R679" t="str">
        <v>fiction</v>
      </c>
      <c r="S679" s="10">
        <f t="shared" ref="S679:T679" si="683">(((J679/60)/60)/24)+DATE(1970,1,1)</f>
        <v>42561.208333333328</v>
      </c>
      <c r="T679" s="10">
        <f t="shared" si="683"/>
        <v>42611.208333333328</v>
      </c>
    </row>
    <row r="680" spans="1:20" ht="15.75" customHeight="1" x14ac:dyDescent="0.25">
      <c r="A680" s="5">
        <v>678</v>
      </c>
      <c r="B680" s="6" t="s">
        <v>1404</v>
      </c>
      <c r="C680" s="7" t="s">
        <v>1405</v>
      </c>
      <c r="D680" s="5">
        <v>99500</v>
      </c>
      <c r="E680" s="5">
        <v>17879</v>
      </c>
      <c r="F680" s="5" t="s">
        <v>82</v>
      </c>
      <c r="G680" s="5">
        <v>215</v>
      </c>
      <c r="H680" s="5" t="s">
        <v>29</v>
      </c>
      <c r="I680" s="5" t="s">
        <v>30</v>
      </c>
      <c r="J680" s="5">
        <v>1547877600</v>
      </c>
      <c r="K680" s="5">
        <v>1548050400</v>
      </c>
      <c r="L680" s="5" t="b">
        <v>0</v>
      </c>
      <c r="M680" s="5" t="b">
        <v>0</v>
      </c>
      <c r="N680" s="5" t="s">
        <v>61</v>
      </c>
      <c r="O680" s="8">
        <f t="shared" si="515"/>
        <v>0.17968844221105529</v>
      </c>
      <c r="P680" s="9">
        <f t="shared" si="505"/>
        <v>83.158139534883716</v>
      </c>
      <c r="Q680" s="5" t="str" cm="1">
        <f t="array" ref="Q680:R680">_xlfn.TEXTSPLIT(N680,"/")</f>
        <v>film &amp; video</v>
      </c>
      <c r="R680" t="str">
        <v>drama</v>
      </c>
      <c r="S680" s="10">
        <f t="shared" ref="S680:T680" si="684">(((J680/60)/60)/24)+DATE(1970,1,1)</f>
        <v>43484.25</v>
      </c>
      <c r="T680" s="10">
        <f t="shared" si="684"/>
        <v>43486.25</v>
      </c>
    </row>
    <row r="681" spans="1:20" ht="15.75" customHeight="1" x14ac:dyDescent="0.25">
      <c r="A681" s="5">
        <v>679</v>
      </c>
      <c r="B681" s="6" t="s">
        <v>676</v>
      </c>
      <c r="C681" s="7" t="s">
        <v>1406</v>
      </c>
      <c r="D681" s="5">
        <v>1400</v>
      </c>
      <c r="E681" s="5">
        <v>14511</v>
      </c>
      <c r="F681" s="5" t="s">
        <v>28</v>
      </c>
      <c r="G681" s="5">
        <v>363</v>
      </c>
      <c r="H681" s="5" t="s">
        <v>29</v>
      </c>
      <c r="I681" s="5" t="s">
        <v>30</v>
      </c>
      <c r="J681" s="5">
        <v>1571374800</v>
      </c>
      <c r="K681" s="5">
        <v>1571806800</v>
      </c>
      <c r="L681" s="5" t="b">
        <v>0</v>
      </c>
      <c r="M681" s="5" t="b">
        <v>1</v>
      </c>
      <c r="N681" s="5" t="s">
        <v>25</v>
      </c>
      <c r="O681" s="8">
        <f t="shared" si="515"/>
        <v>10.365</v>
      </c>
      <c r="P681" s="9">
        <f t="shared" si="505"/>
        <v>39.97520661157025</v>
      </c>
      <c r="Q681" s="5" t="str" cm="1">
        <f t="array" ref="Q681:R681">_xlfn.TEXTSPLIT(N681,"/")</f>
        <v>food</v>
      </c>
      <c r="R681" t="str">
        <v>food trucks</v>
      </c>
      <c r="S681" s="10">
        <f t="shared" ref="S681:T681" si="685">(((J681/60)/60)/24)+DATE(1970,1,1)</f>
        <v>43756.208333333328</v>
      </c>
      <c r="T681" s="10">
        <f t="shared" si="685"/>
        <v>43761.208333333328</v>
      </c>
    </row>
    <row r="682" spans="1:20" ht="15.75" customHeight="1" x14ac:dyDescent="0.25">
      <c r="A682" s="5">
        <v>680</v>
      </c>
      <c r="B682" s="6" t="s">
        <v>1407</v>
      </c>
      <c r="C682" s="7" t="s">
        <v>1408</v>
      </c>
      <c r="D682" s="5">
        <v>145600</v>
      </c>
      <c r="E682" s="5">
        <v>141822</v>
      </c>
      <c r="F682" s="5" t="s">
        <v>22</v>
      </c>
      <c r="G682" s="5">
        <v>2955</v>
      </c>
      <c r="H682" s="5" t="s">
        <v>29</v>
      </c>
      <c r="I682" s="5" t="s">
        <v>30</v>
      </c>
      <c r="J682" s="5">
        <v>1576303200</v>
      </c>
      <c r="K682" s="5">
        <v>1576476000</v>
      </c>
      <c r="L682" s="5" t="b">
        <v>0</v>
      </c>
      <c r="M682" s="5" t="b">
        <v>1</v>
      </c>
      <c r="N682" s="5" t="s">
        <v>300</v>
      </c>
      <c r="O682" s="8">
        <f t="shared" si="515"/>
        <v>0.97405219780219776</v>
      </c>
      <c r="P682" s="9">
        <f t="shared" si="505"/>
        <v>47.993908629441627</v>
      </c>
      <c r="Q682" s="5" t="str" cm="1">
        <f t="array" ref="Q682:R682">_xlfn.TEXTSPLIT(N682,"/")</f>
        <v>games</v>
      </c>
      <c r="R682" t="str">
        <v>mobile games</v>
      </c>
      <c r="S682" s="10">
        <f t="shared" ref="S682:T682" si="686">(((J682/60)/60)/24)+DATE(1970,1,1)</f>
        <v>43813.25</v>
      </c>
      <c r="T682" s="10">
        <f t="shared" si="686"/>
        <v>43815.25</v>
      </c>
    </row>
    <row r="683" spans="1:20" ht="15.75" customHeight="1" x14ac:dyDescent="0.25">
      <c r="A683" s="5">
        <v>681</v>
      </c>
      <c r="B683" s="6" t="s">
        <v>1409</v>
      </c>
      <c r="C683" s="7" t="s">
        <v>1410</v>
      </c>
      <c r="D683" s="5">
        <v>184100</v>
      </c>
      <c r="E683" s="5">
        <v>159037</v>
      </c>
      <c r="F683" s="5" t="s">
        <v>22</v>
      </c>
      <c r="G683" s="5">
        <v>1657</v>
      </c>
      <c r="H683" s="5" t="s">
        <v>29</v>
      </c>
      <c r="I683" s="5" t="s">
        <v>30</v>
      </c>
      <c r="J683" s="5">
        <v>1324447200</v>
      </c>
      <c r="K683" s="5">
        <v>1324965600</v>
      </c>
      <c r="L683" s="5" t="b">
        <v>0</v>
      </c>
      <c r="M683" s="5" t="b">
        <v>0</v>
      </c>
      <c r="N683" s="5" t="s">
        <v>41</v>
      </c>
      <c r="O683" s="8">
        <f t="shared" si="515"/>
        <v>0.86386203150461705</v>
      </c>
      <c r="P683" s="9">
        <f t="shared" si="505"/>
        <v>95.978877489438744</v>
      </c>
      <c r="Q683" s="5" t="str" cm="1">
        <f t="array" ref="Q683:R683">_xlfn.TEXTSPLIT(N683,"/")</f>
        <v>theater</v>
      </c>
      <c r="R683" t="str">
        <v>plays</v>
      </c>
      <c r="S683" s="10">
        <f t="shared" ref="S683:T683" si="687">(((J683/60)/60)/24)+DATE(1970,1,1)</f>
        <v>40898.25</v>
      </c>
      <c r="T683" s="10">
        <f t="shared" si="687"/>
        <v>40904.25</v>
      </c>
    </row>
    <row r="684" spans="1:20" ht="15.75" customHeight="1" x14ac:dyDescent="0.25">
      <c r="A684" s="5">
        <v>682</v>
      </c>
      <c r="B684" s="6" t="s">
        <v>1411</v>
      </c>
      <c r="C684" s="7" t="s">
        <v>1412</v>
      </c>
      <c r="D684" s="5">
        <v>5400</v>
      </c>
      <c r="E684" s="5">
        <v>8109</v>
      </c>
      <c r="F684" s="5" t="s">
        <v>28</v>
      </c>
      <c r="G684" s="5">
        <v>103</v>
      </c>
      <c r="H684" s="5" t="s">
        <v>29</v>
      </c>
      <c r="I684" s="5" t="s">
        <v>30</v>
      </c>
      <c r="J684" s="5">
        <v>1386741600</v>
      </c>
      <c r="K684" s="5">
        <v>1387519200</v>
      </c>
      <c r="L684" s="5" t="b">
        <v>0</v>
      </c>
      <c r="M684" s="5" t="b">
        <v>0</v>
      </c>
      <c r="N684" s="5" t="s">
        <v>41</v>
      </c>
      <c r="O684" s="8">
        <f t="shared" si="515"/>
        <v>1.5016666666666667</v>
      </c>
      <c r="P684" s="9">
        <f t="shared" si="505"/>
        <v>78.728155339805824</v>
      </c>
      <c r="Q684" s="5" t="str" cm="1">
        <f t="array" ref="Q684:R684">_xlfn.TEXTSPLIT(N684,"/")</f>
        <v>theater</v>
      </c>
      <c r="R684" t="str">
        <v>plays</v>
      </c>
      <c r="S684" s="10">
        <f t="shared" ref="S684:T684" si="688">(((J684/60)/60)/24)+DATE(1970,1,1)</f>
        <v>41619.25</v>
      </c>
      <c r="T684" s="10">
        <f t="shared" si="688"/>
        <v>41628.25</v>
      </c>
    </row>
    <row r="685" spans="1:20" ht="15.75" customHeight="1" x14ac:dyDescent="0.25">
      <c r="A685" s="5">
        <v>683</v>
      </c>
      <c r="B685" s="6" t="s">
        <v>1413</v>
      </c>
      <c r="C685" s="7" t="s">
        <v>1414</v>
      </c>
      <c r="D685" s="5">
        <v>2300</v>
      </c>
      <c r="E685" s="5">
        <v>8244</v>
      </c>
      <c r="F685" s="5" t="s">
        <v>28</v>
      </c>
      <c r="G685" s="5">
        <v>147</v>
      </c>
      <c r="H685" s="5" t="s">
        <v>29</v>
      </c>
      <c r="I685" s="5" t="s">
        <v>30</v>
      </c>
      <c r="J685" s="5">
        <v>1537074000</v>
      </c>
      <c r="K685" s="5">
        <v>1537246800</v>
      </c>
      <c r="L685" s="5" t="b">
        <v>0</v>
      </c>
      <c r="M685" s="5" t="b">
        <v>0</v>
      </c>
      <c r="N685" s="5" t="s">
        <v>41</v>
      </c>
      <c r="O685" s="8">
        <f t="shared" si="515"/>
        <v>3.5843478260869563</v>
      </c>
      <c r="P685" s="9">
        <f t="shared" si="505"/>
        <v>56.081632653061227</v>
      </c>
      <c r="Q685" s="5" t="str" cm="1">
        <f t="array" ref="Q685:R685">_xlfn.TEXTSPLIT(N685,"/")</f>
        <v>theater</v>
      </c>
      <c r="R685" t="str">
        <v>plays</v>
      </c>
      <c r="S685" s="10">
        <f t="shared" ref="S685:T685" si="689">(((J685/60)/60)/24)+DATE(1970,1,1)</f>
        <v>43359.208333333328</v>
      </c>
      <c r="T685" s="10">
        <f t="shared" si="689"/>
        <v>43361.208333333328</v>
      </c>
    </row>
    <row r="686" spans="1:20" ht="15.75" customHeight="1" x14ac:dyDescent="0.25">
      <c r="A686" s="5">
        <v>684</v>
      </c>
      <c r="B686" s="6" t="s">
        <v>1415</v>
      </c>
      <c r="C686" s="7" t="s">
        <v>1416</v>
      </c>
      <c r="D686" s="5">
        <v>1400</v>
      </c>
      <c r="E686" s="5">
        <v>7600</v>
      </c>
      <c r="F686" s="5" t="s">
        <v>28</v>
      </c>
      <c r="G686" s="5">
        <v>110</v>
      </c>
      <c r="H686" s="5" t="s">
        <v>23</v>
      </c>
      <c r="I686" s="5" t="s">
        <v>24</v>
      </c>
      <c r="J686" s="5">
        <v>1277787600</v>
      </c>
      <c r="K686" s="5">
        <v>1279515600</v>
      </c>
      <c r="L686" s="5" t="b">
        <v>0</v>
      </c>
      <c r="M686" s="5" t="b">
        <v>0</v>
      </c>
      <c r="N686" s="5" t="s">
        <v>76</v>
      </c>
      <c r="O686" s="8">
        <f t="shared" si="515"/>
        <v>5.4285714285714288</v>
      </c>
      <c r="P686" s="9">
        <f t="shared" si="505"/>
        <v>69.090909090909093</v>
      </c>
      <c r="Q686" s="5" t="str" cm="1">
        <f t="array" ref="Q686:R686">_xlfn.TEXTSPLIT(N686,"/")</f>
        <v>publishing</v>
      </c>
      <c r="R686" t="str">
        <v>nonfiction</v>
      </c>
      <c r="S686" s="10">
        <f t="shared" ref="S686:T686" si="690">(((J686/60)/60)/24)+DATE(1970,1,1)</f>
        <v>40358.208333333336</v>
      </c>
      <c r="T686" s="10">
        <f t="shared" si="690"/>
        <v>40378.208333333336</v>
      </c>
    </row>
    <row r="687" spans="1:20" ht="15.75" customHeight="1" x14ac:dyDescent="0.25">
      <c r="A687" s="5">
        <v>685</v>
      </c>
      <c r="B687" s="6" t="s">
        <v>1417</v>
      </c>
      <c r="C687" s="7" t="s">
        <v>1418</v>
      </c>
      <c r="D687" s="5">
        <v>140000</v>
      </c>
      <c r="E687" s="5">
        <v>94501</v>
      </c>
      <c r="F687" s="5" t="s">
        <v>22</v>
      </c>
      <c r="G687" s="5">
        <v>926</v>
      </c>
      <c r="H687" s="5" t="s">
        <v>23</v>
      </c>
      <c r="I687" s="5" t="s">
        <v>24</v>
      </c>
      <c r="J687" s="5">
        <v>1440306000</v>
      </c>
      <c r="K687" s="5">
        <v>1442379600</v>
      </c>
      <c r="L687" s="5" t="b">
        <v>0</v>
      </c>
      <c r="M687" s="5" t="b">
        <v>0</v>
      </c>
      <c r="N687" s="5" t="s">
        <v>41</v>
      </c>
      <c r="O687" s="8">
        <f t="shared" si="515"/>
        <v>0.67500714285714281</v>
      </c>
      <c r="P687" s="9">
        <f t="shared" si="505"/>
        <v>102.05291576673866</v>
      </c>
      <c r="Q687" s="5" t="str" cm="1">
        <f t="array" ref="Q687:R687">_xlfn.TEXTSPLIT(N687,"/")</f>
        <v>theater</v>
      </c>
      <c r="R687" t="str">
        <v>plays</v>
      </c>
      <c r="S687" s="10">
        <f t="shared" ref="S687:T687" si="691">(((J687/60)/60)/24)+DATE(1970,1,1)</f>
        <v>42239.208333333328</v>
      </c>
      <c r="T687" s="10">
        <f t="shared" si="691"/>
        <v>42263.208333333328</v>
      </c>
    </row>
    <row r="688" spans="1:20" ht="15.75" customHeight="1" x14ac:dyDescent="0.25">
      <c r="A688" s="5">
        <v>686</v>
      </c>
      <c r="B688" s="6" t="s">
        <v>1419</v>
      </c>
      <c r="C688" s="7" t="s">
        <v>1420</v>
      </c>
      <c r="D688" s="5">
        <v>7500</v>
      </c>
      <c r="E688" s="5">
        <v>14381</v>
      </c>
      <c r="F688" s="5" t="s">
        <v>28</v>
      </c>
      <c r="G688" s="5">
        <v>134</v>
      </c>
      <c r="H688" s="5" t="s">
        <v>29</v>
      </c>
      <c r="I688" s="5" t="s">
        <v>30</v>
      </c>
      <c r="J688" s="5">
        <v>1522126800</v>
      </c>
      <c r="K688" s="5">
        <v>1523077200</v>
      </c>
      <c r="L688" s="5" t="b">
        <v>0</v>
      </c>
      <c r="M688" s="5" t="b">
        <v>0</v>
      </c>
      <c r="N688" s="5" t="s">
        <v>73</v>
      </c>
      <c r="O688" s="8">
        <f t="shared" si="515"/>
        <v>1.9174666666666667</v>
      </c>
      <c r="P688" s="9">
        <f t="shared" si="505"/>
        <v>107.32089552238806</v>
      </c>
      <c r="Q688" s="5" t="str" cm="1">
        <f t="array" ref="Q688:R688">_xlfn.TEXTSPLIT(N688,"/")</f>
        <v>technology</v>
      </c>
      <c r="R688" t="str">
        <v>wearables</v>
      </c>
      <c r="S688" s="10">
        <f t="shared" ref="S688:T688" si="692">(((J688/60)/60)/24)+DATE(1970,1,1)</f>
        <v>43186.208333333328</v>
      </c>
      <c r="T688" s="10">
        <f t="shared" si="692"/>
        <v>43197.208333333328</v>
      </c>
    </row>
    <row r="689" spans="1:20" ht="15.75" customHeight="1" x14ac:dyDescent="0.25">
      <c r="A689" s="5">
        <v>687</v>
      </c>
      <c r="B689" s="6" t="s">
        <v>1421</v>
      </c>
      <c r="C689" s="7" t="s">
        <v>1422</v>
      </c>
      <c r="D689" s="5">
        <v>1500</v>
      </c>
      <c r="E689" s="5">
        <v>13980</v>
      </c>
      <c r="F689" s="5" t="s">
        <v>28</v>
      </c>
      <c r="G689" s="5">
        <v>269</v>
      </c>
      <c r="H689" s="5" t="s">
        <v>29</v>
      </c>
      <c r="I689" s="5" t="s">
        <v>30</v>
      </c>
      <c r="J689" s="5">
        <v>1489298400</v>
      </c>
      <c r="K689" s="5">
        <v>1489554000</v>
      </c>
      <c r="L689" s="5" t="b">
        <v>0</v>
      </c>
      <c r="M689" s="5" t="b">
        <v>0</v>
      </c>
      <c r="N689" s="5" t="s">
        <v>41</v>
      </c>
      <c r="O689" s="8">
        <f t="shared" si="515"/>
        <v>9.32</v>
      </c>
      <c r="P689" s="9">
        <f t="shared" si="505"/>
        <v>51.970260223048328</v>
      </c>
      <c r="Q689" s="5" t="str" cm="1">
        <f t="array" ref="Q689:R689">_xlfn.TEXTSPLIT(N689,"/")</f>
        <v>theater</v>
      </c>
      <c r="R689" t="str">
        <v>plays</v>
      </c>
      <c r="S689" s="10">
        <f t="shared" ref="S689:T689" si="693">(((J689/60)/60)/24)+DATE(1970,1,1)</f>
        <v>42806.25</v>
      </c>
      <c r="T689" s="10">
        <f t="shared" si="693"/>
        <v>42809.208333333328</v>
      </c>
    </row>
    <row r="690" spans="1:20" ht="15.75" customHeight="1" x14ac:dyDescent="0.25">
      <c r="A690" s="5">
        <v>688</v>
      </c>
      <c r="B690" s="6" t="s">
        <v>1423</v>
      </c>
      <c r="C690" s="7" t="s">
        <v>1424</v>
      </c>
      <c r="D690" s="5">
        <v>2900</v>
      </c>
      <c r="E690" s="5">
        <v>12449</v>
      </c>
      <c r="F690" s="5" t="s">
        <v>28</v>
      </c>
      <c r="G690" s="5">
        <v>175</v>
      </c>
      <c r="H690" s="5" t="s">
        <v>29</v>
      </c>
      <c r="I690" s="5" t="s">
        <v>30</v>
      </c>
      <c r="J690" s="5">
        <v>1547100000</v>
      </c>
      <c r="K690" s="5">
        <v>1548482400</v>
      </c>
      <c r="L690" s="5" t="b">
        <v>0</v>
      </c>
      <c r="M690" s="5" t="b">
        <v>1</v>
      </c>
      <c r="N690" s="5" t="s">
        <v>277</v>
      </c>
      <c r="O690" s="8">
        <f t="shared" si="515"/>
        <v>4.2927586206896553</v>
      </c>
      <c r="P690" s="9">
        <f t="shared" si="505"/>
        <v>71.137142857142862</v>
      </c>
      <c r="Q690" s="5" t="str" cm="1">
        <f t="array" ref="Q690:R690">_xlfn.TEXTSPLIT(N690,"/")</f>
        <v>film &amp; video</v>
      </c>
      <c r="R690" t="str">
        <v>television</v>
      </c>
      <c r="S690" s="10">
        <f t="shared" ref="S690:T690" si="694">(((J690/60)/60)/24)+DATE(1970,1,1)</f>
        <v>43475.25</v>
      </c>
      <c r="T690" s="10">
        <f t="shared" si="694"/>
        <v>43491.25</v>
      </c>
    </row>
    <row r="691" spans="1:20" ht="15.75" customHeight="1" x14ac:dyDescent="0.25">
      <c r="A691" s="5">
        <v>689</v>
      </c>
      <c r="B691" s="6" t="s">
        <v>1425</v>
      </c>
      <c r="C691" s="7" t="s">
        <v>1426</v>
      </c>
      <c r="D691" s="5">
        <v>7300</v>
      </c>
      <c r="E691" s="5">
        <v>7348</v>
      </c>
      <c r="F691" s="5" t="s">
        <v>28</v>
      </c>
      <c r="G691" s="5">
        <v>69</v>
      </c>
      <c r="H691" s="5" t="s">
        <v>29</v>
      </c>
      <c r="I691" s="5" t="s">
        <v>30</v>
      </c>
      <c r="J691" s="5">
        <v>1383022800</v>
      </c>
      <c r="K691" s="5">
        <v>1384063200</v>
      </c>
      <c r="L691" s="5" t="b">
        <v>0</v>
      </c>
      <c r="M691" s="5" t="b">
        <v>0</v>
      </c>
      <c r="N691" s="5" t="s">
        <v>36</v>
      </c>
      <c r="O691" s="8">
        <f t="shared" si="515"/>
        <v>1.0065753424657535</v>
      </c>
      <c r="P691" s="9">
        <f t="shared" si="505"/>
        <v>106.49275362318841</v>
      </c>
      <c r="Q691" s="5" t="str" cm="1">
        <f t="array" ref="Q691:R691">_xlfn.TEXTSPLIT(N691,"/")</f>
        <v>technology</v>
      </c>
      <c r="R691" t="str">
        <v>web</v>
      </c>
      <c r="S691" s="10">
        <f t="shared" ref="S691:T691" si="695">(((J691/60)/60)/24)+DATE(1970,1,1)</f>
        <v>41576.208333333336</v>
      </c>
      <c r="T691" s="10">
        <f t="shared" si="695"/>
        <v>41588.25</v>
      </c>
    </row>
    <row r="692" spans="1:20" ht="15.75" customHeight="1" x14ac:dyDescent="0.25">
      <c r="A692" s="5">
        <v>690</v>
      </c>
      <c r="B692" s="6" t="s">
        <v>1427</v>
      </c>
      <c r="C692" s="7" t="s">
        <v>1428</v>
      </c>
      <c r="D692" s="5">
        <v>3600</v>
      </c>
      <c r="E692" s="5">
        <v>8158</v>
      </c>
      <c r="F692" s="5" t="s">
        <v>28</v>
      </c>
      <c r="G692" s="5">
        <v>190</v>
      </c>
      <c r="H692" s="5" t="s">
        <v>29</v>
      </c>
      <c r="I692" s="5" t="s">
        <v>30</v>
      </c>
      <c r="J692" s="5">
        <v>1322373600</v>
      </c>
      <c r="K692" s="5">
        <v>1322892000</v>
      </c>
      <c r="L692" s="5" t="b">
        <v>0</v>
      </c>
      <c r="M692" s="5" t="b">
        <v>1</v>
      </c>
      <c r="N692" s="5" t="s">
        <v>50</v>
      </c>
      <c r="O692" s="8">
        <f t="shared" si="515"/>
        <v>2.266111111111111</v>
      </c>
      <c r="P692" s="9">
        <f t="shared" si="505"/>
        <v>42.93684210526316</v>
      </c>
      <c r="Q692" s="5" t="str" cm="1">
        <f t="array" ref="Q692:R692">_xlfn.TEXTSPLIT(N692,"/")</f>
        <v>film &amp; video</v>
      </c>
      <c r="R692" t="str">
        <v>documentary</v>
      </c>
      <c r="S692" s="10">
        <f t="shared" ref="S692:T692" si="696">(((J692/60)/60)/24)+DATE(1970,1,1)</f>
        <v>40874.25</v>
      </c>
      <c r="T692" s="10">
        <f t="shared" si="696"/>
        <v>40880.25</v>
      </c>
    </row>
    <row r="693" spans="1:20" ht="15.75" customHeight="1" x14ac:dyDescent="0.25">
      <c r="A693" s="5">
        <v>691</v>
      </c>
      <c r="B693" s="6" t="s">
        <v>1429</v>
      </c>
      <c r="C693" s="7" t="s">
        <v>1430</v>
      </c>
      <c r="D693" s="5">
        <v>5000</v>
      </c>
      <c r="E693" s="5">
        <v>7119</v>
      </c>
      <c r="F693" s="5" t="s">
        <v>28</v>
      </c>
      <c r="G693" s="5">
        <v>237</v>
      </c>
      <c r="H693" s="5" t="s">
        <v>29</v>
      </c>
      <c r="I693" s="5" t="s">
        <v>30</v>
      </c>
      <c r="J693" s="5">
        <v>1349240400</v>
      </c>
      <c r="K693" s="5">
        <v>1350709200</v>
      </c>
      <c r="L693" s="5" t="b">
        <v>1</v>
      </c>
      <c r="M693" s="5" t="b">
        <v>1</v>
      </c>
      <c r="N693" s="5" t="s">
        <v>50</v>
      </c>
      <c r="O693" s="8">
        <f t="shared" si="515"/>
        <v>1.4238</v>
      </c>
      <c r="P693" s="9">
        <f t="shared" si="505"/>
        <v>30.037974683544302</v>
      </c>
      <c r="Q693" s="5" t="str" cm="1">
        <f t="array" ref="Q693:R693">_xlfn.TEXTSPLIT(N693,"/")</f>
        <v>film &amp; video</v>
      </c>
      <c r="R693" t="str">
        <v>documentary</v>
      </c>
      <c r="S693" s="10">
        <f t="shared" ref="S693:T693" si="697">(((J693/60)/60)/24)+DATE(1970,1,1)</f>
        <v>41185.208333333336</v>
      </c>
      <c r="T693" s="10">
        <f t="shared" si="697"/>
        <v>41202.208333333336</v>
      </c>
    </row>
    <row r="694" spans="1:20" ht="15.75" customHeight="1" x14ac:dyDescent="0.25">
      <c r="A694" s="5">
        <v>692</v>
      </c>
      <c r="B694" s="6" t="s">
        <v>1431</v>
      </c>
      <c r="C694" s="7" t="s">
        <v>1432</v>
      </c>
      <c r="D694" s="5">
        <v>6000</v>
      </c>
      <c r="E694" s="5">
        <v>5438</v>
      </c>
      <c r="F694" s="5" t="s">
        <v>22</v>
      </c>
      <c r="G694" s="5">
        <v>77</v>
      </c>
      <c r="H694" s="5" t="s">
        <v>48</v>
      </c>
      <c r="I694" s="5" t="s">
        <v>49</v>
      </c>
      <c r="J694" s="5">
        <v>1562648400</v>
      </c>
      <c r="K694" s="5">
        <v>1564203600</v>
      </c>
      <c r="L694" s="5" t="b">
        <v>0</v>
      </c>
      <c r="M694" s="5" t="b">
        <v>0</v>
      </c>
      <c r="N694" s="5" t="s">
        <v>31</v>
      </c>
      <c r="O694" s="8">
        <f t="shared" si="515"/>
        <v>0.90633333333333332</v>
      </c>
      <c r="P694" s="9">
        <f t="shared" si="505"/>
        <v>70.623376623376629</v>
      </c>
      <c r="Q694" s="5" t="str" cm="1">
        <f t="array" ref="Q694:R694">_xlfn.TEXTSPLIT(N694,"/")</f>
        <v>music</v>
      </c>
      <c r="R694" t="str">
        <v>rock</v>
      </c>
      <c r="S694" s="10">
        <f t="shared" ref="S694:T694" si="698">(((J694/60)/60)/24)+DATE(1970,1,1)</f>
        <v>43655.208333333328</v>
      </c>
      <c r="T694" s="10">
        <f t="shared" si="698"/>
        <v>43673.208333333328</v>
      </c>
    </row>
    <row r="695" spans="1:20" ht="15.75" customHeight="1" x14ac:dyDescent="0.25">
      <c r="A695" s="5">
        <v>693</v>
      </c>
      <c r="B695" s="6" t="s">
        <v>1433</v>
      </c>
      <c r="C695" s="7" t="s">
        <v>1434</v>
      </c>
      <c r="D695" s="5">
        <v>180400</v>
      </c>
      <c r="E695" s="5">
        <v>115396</v>
      </c>
      <c r="F695" s="5" t="s">
        <v>22</v>
      </c>
      <c r="G695" s="5">
        <v>1748</v>
      </c>
      <c r="H695" s="5" t="s">
        <v>29</v>
      </c>
      <c r="I695" s="5" t="s">
        <v>30</v>
      </c>
      <c r="J695" s="5">
        <v>1508216400</v>
      </c>
      <c r="K695" s="5">
        <v>1509685200</v>
      </c>
      <c r="L695" s="5" t="b">
        <v>0</v>
      </c>
      <c r="M695" s="5" t="b">
        <v>0</v>
      </c>
      <c r="N695" s="5" t="s">
        <v>41</v>
      </c>
      <c r="O695" s="8">
        <f t="shared" si="515"/>
        <v>0.63966740576496672</v>
      </c>
      <c r="P695" s="9">
        <f t="shared" si="505"/>
        <v>66.016018306636155</v>
      </c>
      <c r="Q695" s="5" t="str" cm="1">
        <f t="array" ref="Q695:R695">_xlfn.TEXTSPLIT(N695,"/")</f>
        <v>theater</v>
      </c>
      <c r="R695" t="str">
        <v>plays</v>
      </c>
      <c r="S695" s="10">
        <f t="shared" ref="S695:T695" si="699">(((J695/60)/60)/24)+DATE(1970,1,1)</f>
        <v>43025.208333333328</v>
      </c>
      <c r="T695" s="10">
        <f t="shared" si="699"/>
        <v>43042.208333333328</v>
      </c>
    </row>
    <row r="696" spans="1:20" ht="15.75" customHeight="1" x14ac:dyDescent="0.25">
      <c r="A696" s="5">
        <v>694</v>
      </c>
      <c r="B696" s="6" t="s">
        <v>1435</v>
      </c>
      <c r="C696" s="7" t="s">
        <v>1436</v>
      </c>
      <c r="D696" s="5">
        <v>9100</v>
      </c>
      <c r="E696" s="5">
        <v>7656</v>
      </c>
      <c r="F696" s="5" t="s">
        <v>22</v>
      </c>
      <c r="G696" s="5">
        <v>79</v>
      </c>
      <c r="H696" s="5" t="s">
        <v>29</v>
      </c>
      <c r="I696" s="5" t="s">
        <v>30</v>
      </c>
      <c r="J696" s="5">
        <v>1511762400</v>
      </c>
      <c r="K696" s="5">
        <v>1514959200</v>
      </c>
      <c r="L696" s="5" t="b">
        <v>0</v>
      </c>
      <c r="M696" s="5" t="b">
        <v>0</v>
      </c>
      <c r="N696" s="5" t="s">
        <v>41</v>
      </c>
      <c r="O696" s="8">
        <f t="shared" si="515"/>
        <v>0.84131868131868137</v>
      </c>
      <c r="P696" s="9">
        <f t="shared" si="505"/>
        <v>96.911392405063296</v>
      </c>
      <c r="Q696" s="5" t="str" cm="1">
        <f t="array" ref="Q696:R696">_xlfn.TEXTSPLIT(N696,"/")</f>
        <v>theater</v>
      </c>
      <c r="R696" t="str">
        <v>plays</v>
      </c>
      <c r="S696" s="10">
        <f t="shared" ref="S696:T696" si="700">(((J696/60)/60)/24)+DATE(1970,1,1)</f>
        <v>43066.25</v>
      </c>
      <c r="T696" s="10">
        <f t="shared" si="700"/>
        <v>43103.25</v>
      </c>
    </row>
    <row r="697" spans="1:20" ht="15.75" customHeight="1" x14ac:dyDescent="0.25">
      <c r="A697" s="5">
        <v>695</v>
      </c>
      <c r="B697" s="6" t="s">
        <v>1437</v>
      </c>
      <c r="C697" s="7" t="s">
        <v>1438</v>
      </c>
      <c r="D697" s="5">
        <v>9200</v>
      </c>
      <c r="E697" s="5">
        <v>12322</v>
      </c>
      <c r="F697" s="5" t="s">
        <v>28</v>
      </c>
      <c r="G697" s="5">
        <v>196</v>
      </c>
      <c r="H697" s="5" t="s">
        <v>115</v>
      </c>
      <c r="I697" s="5" t="s">
        <v>116</v>
      </c>
      <c r="J697" s="5">
        <v>1447480800</v>
      </c>
      <c r="K697" s="5">
        <v>1448863200</v>
      </c>
      <c r="L697" s="5" t="b">
        <v>1</v>
      </c>
      <c r="M697" s="5" t="b">
        <v>0</v>
      </c>
      <c r="N697" s="5" t="s">
        <v>31</v>
      </c>
      <c r="O697" s="8">
        <f t="shared" si="515"/>
        <v>1.3393478260869565</v>
      </c>
      <c r="P697" s="9">
        <f t="shared" si="505"/>
        <v>62.867346938775512</v>
      </c>
      <c r="Q697" s="5" t="str" cm="1">
        <f t="array" ref="Q697:R697">_xlfn.TEXTSPLIT(N697,"/")</f>
        <v>music</v>
      </c>
      <c r="R697" t="str">
        <v>rock</v>
      </c>
      <c r="S697" s="10">
        <f t="shared" ref="S697:T697" si="701">(((J697/60)/60)/24)+DATE(1970,1,1)</f>
        <v>42322.25</v>
      </c>
      <c r="T697" s="10">
        <f t="shared" si="701"/>
        <v>42338.25</v>
      </c>
    </row>
    <row r="698" spans="1:20" ht="15.75" customHeight="1" x14ac:dyDescent="0.25">
      <c r="A698" s="5">
        <v>696</v>
      </c>
      <c r="B698" s="6" t="s">
        <v>1439</v>
      </c>
      <c r="C698" s="7" t="s">
        <v>1440</v>
      </c>
      <c r="D698" s="5">
        <v>164100</v>
      </c>
      <c r="E698" s="5">
        <v>96888</v>
      </c>
      <c r="F698" s="5" t="s">
        <v>22</v>
      </c>
      <c r="G698" s="5">
        <v>889</v>
      </c>
      <c r="H698" s="5" t="s">
        <v>29</v>
      </c>
      <c r="I698" s="5" t="s">
        <v>30</v>
      </c>
      <c r="J698" s="5">
        <v>1429506000</v>
      </c>
      <c r="K698" s="5">
        <v>1429592400</v>
      </c>
      <c r="L698" s="5" t="b">
        <v>0</v>
      </c>
      <c r="M698" s="5" t="b">
        <v>1</v>
      </c>
      <c r="N698" s="5" t="s">
        <v>41</v>
      </c>
      <c r="O698" s="8">
        <f t="shared" si="515"/>
        <v>0.59042047531992692</v>
      </c>
      <c r="P698" s="9">
        <f t="shared" si="505"/>
        <v>108.98537682789652</v>
      </c>
      <c r="Q698" s="5" t="str" cm="1">
        <f t="array" ref="Q698:R698">_xlfn.TEXTSPLIT(N698,"/")</f>
        <v>theater</v>
      </c>
      <c r="R698" t="str">
        <v>plays</v>
      </c>
      <c r="S698" s="10">
        <f t="shared" ref="S698:T698" si="702">(((J698/60)/60)/24)+DATE(1970,1,1)</f>
        <v>42114.208333333328</v>
      </c>
      <c r="T698" s="10">
        <f t="shared" si="702"/>
        <v>42115.208333333328</v>
      </c>
    </row>
    <row r="699" spans="1:20" ht="15.75" customHeight="1" x14ac:dyDescent="0.25">
      <c r="A699" s="5">
        <v>697</v>
      </c>
      <c r="B699" s="6" t="s">
        <v>1441</v>
      </c>
      <c r="C699" s="7" t="s">
        <v>1442</v>
      </c>
      <c r="D699" s="5">
        <v>128900</v>
      </c>
      <c r="E699" s="5">
        <v>196960</v>
      </c>
      <c r="F699" s="5" t="s">
        <v>28</v>
      </c>
      <c r="G699" s="5">
        <v>7295</v>
      </c>
      <c r="H699" s="5" t="s">
        <v>29</v>
      </c>
      <c r="I699" s="5" t="s">
        <v>30</v>
      </c>
      <c r="J699" s="5">
        <v>1522472400</v>
      </c>
      <c r="K699" s="5">
        <v>1522645200</v>
      </c>
      <c r="L699" s="5" t="b">
        <v>0</v>
      </c>
      <c r="M699" s="5" t="b">
        <v>0</v>
      </c>
      <c r="N699" s="5" t="s">
        <v>58</v>
      </c>
      <c r="O699" s="8">
        <f t="shared" si="515"/>
        <v>1.5280062063615205</v>
      </c>
      <c r="P699" s="9">
        <f t="shared" si="505"/>
        <v>26.999314599040439</v>
      </c>
      <c r="Q699" s="5" t="str" cm="1">
        <f t="array" ref="Q699:R699">_xlfn.TEXTSPLIT(N699,"/")</f>
        <v>music</v>
      </c>
      <c r="R699" t="str">
        <v>electric music</v>
      </c>
      <c r="S699" s="10">
        <f t="shared" ref="S699:T699" si="703">(((J699/60)/60)/24)+DATE(1970,1,1)</f>
        <v>43190.208333333328</v>
      </c>
      <c r="T699" s="10">
        <f t="shared" si="703"/>
        <v>43192.208333333328</v>
      </c>
    </row>
    <row r="700" spans="1:20" ht="15.75" customHeight="1" x14ac:dyDescent="0.25">
      <c r="A700" s="5">
        <v>698</v>
      </c>
      <c r="B700" s="6" t="s">
        <v>1443</v>
      </c>
      <c r="C700" s="7" t="s">
        <v>1444</v>
      </c>
      <c r="D700" s="5">
        <v>42100</v>
      </c>
      <c r="E700" s="5">
        <v>188057</v>
      </c>
      <c r="F700" s="5" t="s">
        <v>28</v>
      </c>
      <c r="G700" s="5">
        <v>2893</v>
      </c>
      <c r="H700" s="5" t="s">
        <v>23</v>
      </c>
      <c r="I700" s="5" t="s">
        <v>24</v>
      </c>
      <c r="J700" s="5">
        <v>1322114400</v>
      </c>
      <c r="K700" s="5">
        <v>1323324000</v>
      </c>
      <c r="L700" s="5" t="b">
        <v>0</v>
      </c>
      <c r="M700" s="5" t="b">
        <v>0</v>
      </c>
      <c r="N700" s="5" t="s">
        <v>73</v>
      </c>
      <c r="O700" s="8">
        <f t="shared" si="515"/>
        <v>4.466912114014252</v>
      </c>
      <c r="P700" s="9">
        <f t="shared" si="505"/>
        <v>65.004147943311438</v>
      </c>
      <c r="Q700" s="5" t="str" cm="1">
        <f t="array" ref="Q700:R700">_xlfn.TEXTSPLIT(N700,"/")</f>
        <v>technology</v>
      </c>
      <c r="R700" t="str">
        <v>wearables</v>
      </c>
      <c r="S700" s="10">
        <f t="shared" ref="S700:T700" si="704">(((J700/60)/60)/24)+DATE(1970,1,1)</f>
        <v>40871.25</v>
      </c>
      <c r="T700" s="10">
        <f t="shared" si="704"/>
        <v>40885.25</v>
      </c>
    </row>
    <row r="701" spans="1:20" ht="15.75" customHeight="1" x14ac:dyDescent="0.25">
      <c r="A701" s="5">
        <v>699</v>
      </c>
      <c r="B701" s="6" t="s">
        <v>452</v>
      </c>
      <c r="C701" s="7" t="s">
        <v>1445</v>
      </c>
      <c r="D701" s="5">
        <v>7400</v>
      </c>
      <c r="E701" s="5">
        <v>6245</v>
      </c>
      <c r="F701" s="5" t="s">
        <v>22</v>
      </c>
      <c r="G701" s="5">
        <v>56</v>
      </c>
      <c r="H701" s="5" t="s">
        <v>29</v>
      </c>
      <c r="I701" s="5" t="s">
        <v>30</v>
      </c>
      <c r="J701" s="5">
        <v>1561438800</v>
      </c>
      <c r="K701" s="5">
        <v>1561525200</v>
      </c>
      <c r="L701" s="5" t="b">
        <v>0</v>
      </c>
      <c r="M701" s="5" t="b">
        <v>0</v>
      </c>
      <c r="N701" s="5" t="s">
        <v>61</v>
      </c>
      <c r="O701" s="8">
        <f t="shared" si="515"/>
        <v>0.8439189189189189</v>
      </c>
      <c r="P701" s="9">
        <f t="shared" si="505"/>
        <v>111.51785714285714</v>
      </c>
      <c r="Q701" s="5" t="str" cm="1">
        <f t="array" ref="Q701:R701">_xlfn.TEXTSPLIT(N701,"/")</f>
        <v>film &amp; video</v>
      </c>
      <c r="R701" t="str">
        <v>drama</v>
      </c>
      <c r="S701" s="10">
        <f t="shared" ref="S701:T701" si="705">(((J701/60)/60)/24)+DATE(1970,1,1)</f>
        <v>43641.208333333328</v>
      </c>
      <c r="T701" s="10">
        <f t="shared" si="705"/>
        <v>43642.208333333328</v>
      </c>
    </row>
    <row r="702" spans="1:20" ht="15.75" customHeight="1" x14ac:dyDescent="0.25">
      <c r="A702" s="5">
        <v>700</v>
      </c>
      <c r="B702" s="6" t="s">
        <v>1446</v>
      </c>
      <c r="C702" s="7" t="s">
        <v>1447</v>
      </c>
      <c r="D702" s="5">
        <v>100</v>
      </c>
      <c r="E702" s="5">
        <v>3</v>
      </c>
      <c r="F702" s="5" t="s">
        <v>22</v>
      </c>
      <c r="G702" s="5">
        <v>1</v>
      </c>
      <c r="H702" s="5" t="s">
        <v>29</v>
      </c>
      <c r="I702" s="5" t="s">
        <v>30</v>
      </c>
      <c r="J702" s="5">
        <v>1264399200</v>
      </c>
      <c r="K702" s="5">
        <v>1265695200</v>
      </c>
      <c r="L702" s="5" t="b">
        <v>0</v>
      </c>
      <c r="M702" s="5" t="b">
        <v>0</v>
      </c>
      <c r="N702" s="5" t="s">
        <v>73</v>
      </c>
      <c r="O702" s="8">
        <f t="shared" si="515"/>
        <v>0.03</v>
      </c>
      <c r="P702" s="9">
        <f t="shared" si="505"/>
        <v>3</v>
      </c>
      <c r="Q702" s="5" t="str" cm="1">
        <f t="array" ref="Q702:R702">_xlfn.TEXTSPLIT(N702,"/")</f>
        <v>technology</v>
      </c>
      <c r="R702" t="str">
        <v>wearables</v>
      </c>
      <c r="S702" s="10">
        <f t="shared" ref="S702:T702" si="706">(((J702/60)/60)/24)+DATE(1970,1,1)</f>
        <v>40203.25</v>
      </c>
      <c r="T702" s="10">
        <f t="shared" si="706"/>
        <v>40218.25</v>
      </c>
    </row>
    <row r="703" spans="1:20" ht="15.75" customHeight="1" x14ac:dyDescent="0.25">
      <c r="A703" s="5">
        <v>701</v>
      </c>
      <c r="B703" s="6" t="s">
        <v>1448</v>
      </c>
      <c r="C703" s="7" t="s">
        <v>1449</v>
      </c>
      <c r="D703" s="5">
        <v>52000</v>
      </c>
      <c r="E703" s="5">
        <v>91014</v>
      </c>
      <c r="F703" s="5" t="s">
        <v>28</v>
      </c>
      <c r="G703" s="5">
        <v>820</v>
      </c>
      <c r="H703" s="5" t="s">
        <v>29</v>
      </c>
      <c r="I703" s="5" t="s">
        <v>30</v>
      </c>
      <c r="J703" s="5">
        <v>1301202000</v>
      </c>
      <c r="K703" s="5">
        <v>1301806800</v>
      </c>
      <c r="L703" s="5" t="b">
        <v>1</v>
      </c>
      <c r="M703" s="5" t="b">
        <v>0</v>
      </c>
      <c r="N703" s="5" t="s">
        <v>41</v>
      </c>
      <c r="O703" s="8">
        <f t="shared" si="515"/>
        <v>1.7502692307692307</v>
      </c>
      <c r="P703" s="9">
        <f t="shared" si="505"/>
        <v>110.99268292682927</v>
      </c>
      <c r="Q703" s="5" t="str" cm="1">
        <f t="array" ref="Q703:R703">_xlfn.TEXTSPLIT(N703,"/")</f>
        <v>theater</v>
      </c>
      <c r="R703" t="str">
        <v>plays</v>
      </c>
      <c r="S703" s="10">
        <f t="shared" ref="S703:T703" si="707">(((J703/60)/60)/24)+DATE(1970,1,1)</f>
        <v>40629.208333333336</v>
      </c>
      <c r="T703" s="10">
        <f t="shared" si="707"/>
        <v>40636.208333333336</v>
      </c>
    </row>
    <row r="704" spans="1:20" ht="15.75" customHeight="1" x14ac:dyDescent="0.25">
      <c r="A704" s="5">
        <v>702</v>
      </c>
      <c r="B704" s="6" t="s">
        <v>1450</v>
      </c>
      <c r="C704" s="7" t="s">
        <v>1451</v>
      </c>
      <c r="D704" s="5">
        <v>8700</v>
      </c>
      <c r="E704" s="5">
        <v>4710</v>
      </c>
      <c r="F704" s="5" t="s">
        <v>22</v>
      </c>
      <c r="G704" s="5">
        <v>83</v>
      </c>
      <c r="H704" s="5" t="s">
        <v>29</v>
      </c>
      <c r="I704" s="5" t="s">
        <v>30</v>
      </c>
      <c r="J704" s="5">
        <v>1374469200</v>
      </c>
      <c r="K704" s="5">
        <v>1374901200</v>
      </c>
      <c r="L704" s="5" t="b">
        <v>0</v>
      </c>
      <c r="M704" s="5" t="b">
        <v>0</v>
      </c>
      <c r="N704" s="5" t="s">
        <v>73</v>
      </c>
      <c r="O704" s="8">
        <f t="shared" si="515"/>
        <v>0.54137931034482756</v>
      </c>
      <c r="P704" s="9">
        <f t="shared" si="505"/>
        <v>56.746987951807228</v>
      </c>
      <c r="Q704" s="5" t="str" cm="1">
        <f t="array" ref="Q704:R704">_xlfn.TEXTSPLIT(N704,"/")</f>
        <v>technology</v>
      </c>
      <c r="R704" t="str">
        <v>wearables</v>
      </c>
      <c r="S704" s="10">
        <f t="shared" ref="S704:T704" si="708">(((J704/60)/60)/24)+DATE(1970,1,1)</f>
        <v>41477.208333333336</v>
      </c>
      <c r="T704" s="10">
        <f t="shared" si="708"/>
        <v>41482.208333333336</v>
      </c>
    </row>
    <row r="705" spans="1:20" ht="15.75" customHeight="1" x14ac:dyDescent="0.25">
      <c r="A705" s="5">
        <v>703</v>
      </c>
      <c r="B705" s="6" t="s">
        <v>1452</v>
      </c>
      <c r="C705" s="7" t="s">
        <v>1453</v>
      </c>
      <c r="D705" s="5">
        <v>63400</v>
      </c>
      <c r="E705" s="5">
        <v>197728</v>
      </c>
      <c r="F705" s="5" t="s">
        <v>28</v>
      </c>
      <c r="G705" s="5">
        <v>2038</v>
      </c>
      <c r="H705" s="5" t="s">
        <v>29</v>
      </c>
      <c r="I705" s="5" t="s">
        <v>30</v>
      </c>
      <c r="J705" s="5">
        <v>1334984400</v>
      </c>
      <c r="K705" s="5">
        <v>1336453200</v>
      </c>
      <c r="L705" s="5" t="b">
        <v>1</v>
      </c>
      <c r="M705" s="5" t="b">
        <v>1</v>
      </c>
      <c r="N705" s="5" t="s">
        <v>214</v>
      </c>
      <c r="O705" s="8">
        <f t="shared" si="515"/>
        <v>3.1187381703470032</v>
      </c>
      <c r="P705" s="9">
        <f t="shared" si="505"/>
        <v>97.020608439646708</v>
      </c>
      <c r="Q705" s="5" t="str" cm="1">
        <f t="array" ref="Q705:R705">_xlfn.TEXTSPLIT(N705,"/")</f>
        <v>publishing</v>
      </c>
      <c r="R705" t="str">
        <v>translations</v>
      </c>
      <c r="S705" s="10">
        <f t="shared" ref="S705:T705" si="709">(((J705/60)/60)/24)+DATE(1970,1,1)</f>
        <v>41020.208333333336</v>
      </c>
      <c r="T705" s="10">
        <f t="shared" si="709"/>
        <v>41037.208333333336</v>
      </c>
    </row>
    <row r="706" spans="1:20" ht="15.75" customHeight="1" x14ac:dyDescent="0.25">
      <c r="A706" s="5">
        <v>704</v>
      </c>
      <c r="B706" s="6" t="s">
        <v>1454</v>
      </c>
      <c r="C706" s="7" t="s">
        <v>1455</v>
      </c>
      <c r="D706" s="5">
        <v>8700</v>
      </c>
      <c r="E706" s="5">
        <v>10682</v>
      </c>
      <c r="F706" s="5" t="s">
        <v>28</v>
      </c>
      <c r="G706" s="5">
        <v>116</v>
      </c>
      <c r="H706" s="5" t="s">
        <v>29</v>
      </c>
      <c r="I706" s="5" t="s">
        <v>30</v>
      </c>
      <c r="J706" s="5">
        <v>1467608400</v>
      </c>
      <c r="K706" s="5">
        <v>1468904400</v>
      </c>
      <c r="L706" s="5" t="b">
        <v>0</v>
      </c>
      <c r="M706" s="5" t="b">
        <v>0</v>
      </c>
      <c r="N706" s="5" t="s">
        <v>79</v>
      </c>
      <c r="O706" s="8">
        <f t="shared" si="515"/>
        <v>1.2278160919540231</v>
      </c>
      <c r="P706" s="9">
        <f t="shared" si="505"/>
        <v>92.08620689655173</v>
      </c>
      <c r="Q706" s="5" t="str" cm="1">
        <f t="array" ref="Q706:R706">_xlfn.TEXTSPLIT(N706,"/")</f>
        <v>film &amp; video</v>
      </c>
      <c r="R706" t="str">
        <v>animation</v>
      </c>
      <c r="S706" s="10">
        <f t="shared" ref="S706:T706" si="710">(((J706/60)/60)/24)+DATE(1970,1,1)</f>
        <v>42555.208333333328</v>
      </c>
      <c r="T706" s="10">
        <f t="shared" si="710"/>
        <v>42570.208333333328</v>
      </c>
    </row>
    <row r="707" spans="1:20" ht="15.75" customHeight="1" x14ac:dyDescent="0.25">
      <c r="A707" s="5">
        <v>705</v>
      </c>
      <c r="B707" s="6" t="s">
        <v>1456</v>
      </c>
      <c r="C707" s="7" t="s">
        <v>1457</v>
      </c>
      <c r="D707" s="5">
        <v>169700</v>
      </c>
      <c r="E707" s="5">
        <v>168048</v>
      </c>
      <c r="F707" s="5" t="s">
        <v>22</v>
      </c>
      <c r="G707" s="5">
        <v>2025</v>
      </c>
      <c r="H707" s="5" t="s">
        <v>48</v>
      </c>
      <c r="I707" s="5" t="s">
        <v>49</v>
      </c>
      <c r="J707" s="5">
        <v>1386741600</v>
      </c>
      <c r="K707" s="5">
        <v>1387087200</v>
      </c>
      <c r="L707" s="5" t="b">
        <v>0</v>
      </c>
      <c r="M707" s="5" t="b">
        <v>0</v>
      </c>
      <c r="N707" s="5" t="s">
        <v>76</v>
      </c>
      <c r="O707" s="8">
        <f t="shared" si="515"/>
        <v>0.99026517383618151</v>
      </c>
      <c r="P707" s="9">
        <f t="shared" si="505"/>
        <v>82.986666666666665</v>
      </c>
      <c r="Q707" s="5" t="str" cm="1">
        <f t="array" ref="Q707:R707">_xlfn.TEXTSPLIT(N707,"/")</f>
        <v>publishing</v>
      </c>
      <c r="R707" t="str">
        <v>nonfiction</v>
      </c>
      <c r="S707" s="10">
        <f t="shared" ref="S707:T707" si="711">(((J707/60)/60)/24)+DATE(1970,1,1)</f>
        <v>41619.25</v>
      </c>
      <c r="T707" s="10">
        <f t="shared" si="711"/>
        <v>41623.25</v>
      </c>
    </row>
    <row r="708" spans="1:20" ht="15.75" customHeight="1" x14ac:dyDescent="0.25">
      <c r="A708" s="5">
        <v>706</v>
      </c>
      <c r="B708" s="6" t="s">
        <v>1458</v>
      </c>
      <c r="C708" s="7" t="s">
        <v>1459</v>
      </c>
      <c r="D708" s="5">
        <v>108400</v>
      </c>
      <c r="E708" s="5">
        <v>138586</v>
      </c>
      <c r="F708" s="5" t="s">
        <v>28</v>
      </c>
      <c r="G708" s="5">
        <v>1345</v>
      </c>
      <c r="H708" s="5" t="s">
        <v>34</v>
      </c>
      <c r="I708" s="5" t="s">
        <v>35</v>
      </c>
      <c r="J708" s="5">
        <v>1546754400</v>
      </c>
      <c r="K708" s="5">
        <v>1547445600</v>
      </c>
      <c r="L708" s="5" t="b">
        <v>0</v>
      </c>
      <c r="M708" s="5" t="b">
        <v>1</v>
      </c>
      <c r="N708" s="5" t="s">
        <v>36</v>
      </c>
      <c r="O708" s="8">
        <f t="shared" si="515"/>
        <v>1.278468634686347</v>
      </c>
      <c r="P708" s="9">
        <f t="shared" si="505"/>
        <v>103.03791821561339</v>
      </c>
      <c r="Q708" s="5" t="str" cm="1">
        <f t="array" ref="Q708:R708">_xlfn.TEXTSPLIT(N708,"/")</f>
        <v>technology</v>
      </c>
      <c r="R708" t="str">
        <v>web</v>
      </c>
      <c r="S708" s="10">
        <f t="shared" ref="S708:T708" si="712">(((J708/60)/60)/24)+DATE(1970,1,1)</f>
        <v>43471.25</v>
      </c>
      <c r="T708" s="10">
        <f t="shared" si="712"/>
        <v>43479.25</v>
      </c>
    </row>
    <row r="709" spans="1:20" ht="15.75" customHeight="1" x14ac:dyDescent="0.25">
      <c r="A709" s="5">
        <v>707</v>
      </c>
      <c r="B709" s="6" t="s">
        <v>1460</v>
      </c>
      <c r="C709" s="7" t="s">
        <v>1461</v>
      </c>
      <c r="D709" s="5">
        <v>7300</v>
      </c>
      <c r="E709" s="5">
        <v>11579</v>
      </c>
      <c r="F709" s="5" t="s">
        <v>28</v>
      </c>
      <c r="G709" s="5">
        <v>168</v>
      </c>
      <c r="H709" s="5" t="s">
        <v>29</v>
      </c>
      <c r="I709" s="5" t="s">
        <v>30</v>
      </c>
      <c r="J709" s="5">
        <v>1544248800</v>
      </c>
      <c r="K709" s="5">
        <v>1547359200</v>
      </c>
      <c r="L709" s="5" t="b">
        <v>0</v>
      </c>
      <c r="M709" s="5" t="b">
        <v>0</v>
      </c>
      <c r="N709" s="5" t="s">
        <v>61</v>
      </c>
      <c r="O709" s="8">
        <f t="shared" si="515"/>
        <v>1.5861643835616439</v>
      </c>
      <c r="P709" s="9">
        <f t="shared" si="505"/>
        <v>68.922619047619051</v>
      </c>
      <c r="Q709" s="5" t="str" cm="1">
        <f t="array" ref="Q709:R709">_xlfn.TEXTSPLIT(N709,"/")</f>
        <v>film &amp; video</v>
      </c>
      <c r="R709" t="str">
        <v>drama</v>
      </c>
      <c r="S709" s="10">
        <f t="shared" ref="S709:T709" si="713">(((J709/60)/60)/24)+DATE(1970,1,1)</f>
        <v>43442.25</v>
      </c>
      <c r="T709" s="10">
        <f t="shared" si="713"/>
        <v>43478.25</v>
      </c>
    </row>
    <row r="710" spans="1:20" ht="15.75" customHeight="1" x14ac:dyDescent="0.25">
      <c r="A710" s="5">
        <v>708</v>
      </c>
      <c r="B710" s="6" t="s">
        <v>1462</v>
      </c>
      <c r="C710" s="7" t="s">
        <v>1463</v>
      </c>
      <c r="D710" s="5">
        <v>1700</v>
      </c>
      <c r="E710" s="5">
        <v>12020</v>
      </c>
      <c r="F710" s="5" t="s">
        <v>28</v>
      </c>
      <c r="G710" s="5">
        <v>137</v>
      </c>
      <c r="H710" s="5" t="s">
        <v>106</v>
      </c>
      <c r="I710" s="5" t="s">
        <v>107</v>
      </c>
      <c r="J710" s="5">
        <v>1495429200</v>
      </c>
      <c r="K710" s="5">
        <v>1496293200</v>
      </c>
      <c r="L710" s="5" t="b">
        <v>0</v>
      </c>
      <c r="M710" s="5" t="b">
        <v>0</v>
      </c>
      <c r="N710" s="5" t="s">
        <v>41</v>
      </c>
      <c r="O710" s="8">
        <f t="shared" si="515"/>
        <v>7.0705882352941174</v>
      </c>
      <c r="P710" s="9">
        <f t="shared" si="505"/>
        <v>87.737226277372258</v>
      </c>
      <c r="Q710" s="5" t="str" cm="1">
        <f t="array" ref="Q710:R710">_xlfn.TEXTSPLIT(N710,"/")</f>
        <v>theater</v>
      </c>
      <c r="R710" t="str">
        <v>plays</v>
      </c>
      <c r="S710" s="10">
        <f t="shared" ref="S710:T710" si="714">(((J710/60)/60)/24)+DATE(1970,1,1)</f>
        <v>42877.208333333328</v>
      </c>
      <c r="T710" s="10">
        <f t="shared" si="714"/>
        <v>42887.208333333328</v>
      </c>
    </row>
    <row r="711" spans="1:20" ht="15.75" customHeight="1" x14ac:dyDescent="0.25">
      <c r="A711" s="5">
        <v>709</v>
      </c>
      <c r="B711" s="6" t="s">
        <v>1464</v>
      </c>
      <c r="C711" s="7" t="s">
        <v>1465</v>
      </c>
      <c r="D711" s="5">
        <v>9800</v>
      </c>
      <c r="E711" s="5">
        <v>13954</v>
      </c>
      <c r="F711" s="5" t="s">
        <v>28</v>
      </c>
      <c r="G711" s="5">
        <v>186</v>
      </c>
      <c r="H711" s="5" t="s">
        <v>115</v>
      </c>
      <c r="I711" s="5" t="s">
        <v>116</v>
      </c>
      <c r="J711" s="5">
        <v>1334811600</v>
      </c>
      <c r="K711" s="5">
        <v>1335416400</v>
      </c>
      <c r="L711" s="5" t="b">
        <v>0</v>
      </c>
      <c r="M711" s="5" t="b">
        <v>0</v>
      </c>
      <c r="N711" s="5" t="s">
        <v>41</v>
      </c>
      <c r="O711" s="8">
        <f t="shared" si="515"/>
        <v>1.4238775510204082</v>
      </c>
      <c r="P711" s="9">
        <f t="shared" si="505"/>
        <v>75.021505376344081</v>
      </c>
      <c r="Q711" s="5" t="str" cm="1">
        <f t="array" ref="Q711:R711">_xlfn.TEXTSPLIT(N711,"/")</f>
        <v>theater</v>
      </c>
      <c r="R711" t="str">
        <v>plays</v>
      </c>
      <c r="S711" s="10">
        <f t="shared" ref="S711:T711" si="715">(((J711/60)/60)/24)+DATE(1970,1,1)</f>
        <v>41018.208333333336</v>
      </c>
      <c r="T711" s="10">
        <f t="shared" si="715"/>
        <v>41025.208333333336</v>
      </c>
    </row>
    <row r="712" spans="1:20" ht="15.75" customHeight="1" x14ac:dyDescent="0.25">
      <c r="A712" s="5">
        <v>710</v>
      </c>
      <c r="B712" s="6" t="s">
        <v>1466</v>
      </c>
      <c r="C712" s="7" t="s">
        <v>1467</v>
      </c>
      <c r="D712" s="5">
        <v>4300</v>
      </c>
      <c r="E712" s="5">
        <v>6358</v>
      </c>
      <c r="F712" s="5" t="s">
        <v>28</v>
      </c>
      <c r="G712" s="5">
        <v>125</v>
      </c>
      <c r="H712" s="5" t="s">
        <v>29</v>
      </c>
      <c r="I712" s="5" t="s">
        <v>30</v>
      </c>
      <c r="J712" s="5">
        <v>1531544400</v>
      </c>
      <c r="K712" s="5">
        <v>1532149200</v>
      </c>
      <c r="L712" s="5" t="b">
        <v>0</v>
      </c>
      <c r="M712" s="5" t="b">
        <v>1</v>
      </c>
      <c r="N712" s="5" t="s">
        <v>41</v>
      </c>
      <c r="O712" s="8">
        <f t="shared" si="515"/>
        <v>1.4786046511627906</v>
      </c>
      <c r="P712" s="9">
        <f t="shared" si="505"/>
        <v>50.863999999999997</v>
      </c>
      <c r="Q712" s="5" t="str" cm="1">
        <f t="array" ref="Q712:R712">_xlfn.TEXTSPLIT(N712,"/")</f>
        <v>theater</v>
      </c>
      <c r="R712" t="str">
        <v>plays</v>
      </c>
      <c r="S712" s="10">
        <f t="shared" ref="S712:T712" si="716">(((J712/60)/60)/24)+DATE(1970,1,1)</f>
        <v>43295.208333333328</v>
      </c>
      <c r="T712" s="10">
        <f t="shared" si="716"/>
        <v>43302.208333333328</v>
      </c>
    </row>
    <row r="713" spans="1:20" ht="15.75" customHeight="1" x14ac:dyDescent="0.25">
      <c r="A713" s="5">
        <v>711</v>
      </c>
      <c r="B713" s="6" t="s">
        <v>1468</v>
      </c>
      <c r="C713" s="7" t="s">
        <v>1469</v>
      </c>
      <c r="D713" s="5">
        <v>6200</v>
      </c>
      <c r="E713" s="5">
        <v>1260</v>
      </c>
      <c r="F713" s="5" t="s">
        <v>22</v>
      </c>
      <c r="G713" s="5">
        <v>14</v>
      </c>
      <c r="H713" s="5" t="s">
        <v>115</v>
      </c>
      <c r="I713" s="5" t="s">
        <v>116</v>
      </c>
      <c r="J713" s="5">
        <v>1453615200</v>
      </c>
      <c r="K713" s="5">
        <v>1453788000</v>
      </c>
      <c r="L713" s="5" t="b">
        <v>1</v>
      </c>
      <c r="M713" s="5" t="b">
        <v>1</v>
      </c>
      <c r="N713" s="5" t="s">
        <v>41</v>
      </c>
      <c r="O713" s="8">
        <f t="shared" si="515"/>
        <v>0.20322580645161289</v>
      </c>
      <c r="P713" s="9">
        <f t="shared" si="505"/>
        <v>90</v>
      </c>
      <c r="Q713" s="5" t="str" cm="1">
        <f t="array" ref="Q713:R713">_xlfn.TEXTSPLIT(N713,"/")</f>
        <v>theater</v>
      </c>
      <c r="R713" t="str">
        <v>plays</v>
      </c>
      <c r="S713" s="10">
        <f t="shared" ref="S713:T713" si="717">(((J713/60)/60)/24)+DATE(1970,1,1)</f>
        <v>42393.25</v>
      </c>
      <c r="T713" s="10">
        <f t="shared" si="717"/>
        <v>42395.25</v>
      </c>
    </row>
    <row r="714" spans="1:20" ht="15.75" customHeight="1" x14ac:dyDescent="0.25">
      <c r="A714" s="5">
        <v>712</v>
      </c>
      <c r="B714" s="6" t="s">
        <v>1470</v>
      </c>
      <c r="C714" s="7" t="s">
        <v>1471</v>
      </c>
      <c r="D714" s="5">
        <v>800</v>
      </c>
      <c r="E714" s="5">
        <v>14725</v>
      </c>
      <c r="F714" s="5" t="s">
        <v>28</v>
      </c>
      <c r="G714" s="5">
        <v>202</v>
      </c>
      <c r="H714" s="5" t="s">
        <v>29</v>
      </c>
      <c r="I714" s="5" t="s">
        <v>30</v>
      </c>
      <c r="J714" s="5">
        <v>1467954000</v>
      </c>
      <c r="K714" s="5">
        <v>1471496400</v>
      </c>
      <c r="L714" s="5" t="b">
        <v>0</v>
      </c>
      <c r="M714" s="5" t="b">
        <v>0</v>
      </c>
      <c r="N714" s="5" t="s">
        <v>41</v>
      </c>
      <c r="O714" s="8">
        <f t="shared" si="515"/>
        <v>18.40625</v>
      </c>
      <c r="P714" s="9">
        <f t="shared" si="505"/>
        <v>72.896039603960389</v>
      </c>
      <c r="Q714" s="5" t="str" cm="1">
        <f t="array" ref="Q714:R714">_xlfn.TEXTSPLIT(N714,"/")</f>
        <v>theater</v>
      </c>
      <c r="R714" t="str">
        <v>plays</v>
      </c>
      <c r="S714" s="10">
        <f t="shared" ref="S714:T714" si="718">(((J714/60)/60)/24)+DATE(1970,1,1)</f>
        <v>42559.208333333328</v>
      </c>
      <c r="T714" s="10">
        <f t="shared" si="718"/>
        <v>42600.208333333328</v>
      </c>
    </row>
    <row r="715" spans="1:20" ht="15.75" customHeight="1" x14ac:dyDescent="0.25">
      <c r="A715" s="5">
        <v>713</v>
      </c>
      <c r="B715" s="6" t="s">
        <v>1472</v>
      </c>
      <c r="C715" s="7" t="s">
        <v>1473</v>
      </c>
      <c r="D715" s="5">
        <v>6900</v>
      </c>
      <c r="E715" s="5">
        <v>11174</v>
      </c>
      <c r="F715" s="5" t="s">
        <v>28</v>
      </c>
      <c r="G715" s="5">
        <v>103</v>
      </c>
      <c r="H715" s="5" t="s">
        <v>29</v>
      </c>
      <c r="I715" s="5" t="s">
        <v>30</v>
      </c>
      <c r="J715" s="5">
        <v>1471842000</v>
      </c>
      <c r="K715" s="5">
        <v>1472878800</v>
      </c>
      <c r="L715" s="5" t="b">
        <v>0</v>
      </c>
      <c r="M715" s="5" t="b">
        <v>0</v>
      </c>
      <c r="N715" s="5" t="s">
        <v>141</v>
      </c>
      <c r="O715" s="8">
        <f t="shared" si="515"/>
        <v>1.6194202898550725</v>
      </c>
      <c r="P715" s="9">
        <f t="shared" si="505"/>
        <v>108.48543689320388</v>
      </c>
      <c r="Q715" s="5" t="str" cm="1">
        <f t="array" ref="Q715:R715">_xlfn.TEXTSPLIT(N715,"/")</f>
        <v>publishing</v>
      </c>
      <c r="R715" t="str">
        <v>radio &amp; podcasts</v>
      </c>
      <c r="S715" s="10">
        <f t="shared" ref="S715:T715" si="719">(((J715/60)/60)/24)+DATE(1970,1,1)</f>
        <v>42604.208333333328</v>
      </c>
      <c r="T715" s="10">
        <f t="shared" si="719"/>
        <v>42616.208333333328</v>
      </c>
    </row>
    <row r="716" spans="1:20" ht="15.75" customHeight="1" x14ac:dyDescent="0.25">
      <c r="A716" s="5">
        <v>714</v>
      </c>
      <c r="B716" s="6" t="s">
        <v>1474</v>
      </c>
      <c r="C716" s="7" t="s">
        <v>1475</v>
      </c>
      <c r="D716" s="5">
        <v>38500</v>
      </c>
      <c r="E716" s="5">
        <v>182036</v>
      </c>
      <c r="F716" s="5" t="s">
        <v>28</v>
      </c>
      <c r="G716" s="5">
        <v>1785</v>
      </c>
      <c r="H716" s="5" t="s">
        <v>29</v>
      </c>
      <c r="I716" s="5" t="s">
        <v>30</v>
      </c>
      <c r="J716" s="5">
        <v>1408424400</v>
      </c>
      <c r="K716" s="5">
        <v>1408510800</v>
      </c>
      <c r="L716" s="5" t="b">
        <v>0</v>
      </c>
      <c r="M716" s="5" t="b">
        <v>0</v>
      </c>
      <c r="N716" s="5" t="s">
        <v>31</v>
      </c>
      <c r="O716" s="8">
        <f t="shared" si="515"/>
        <v>4.7282077922077921</v>
      </c>
      <c r="P716" s="9">
        <f t="shared" si="505"/>
        <v>101.98095238095237</v>
      </c>
      <c r="Q716" s="5" t="str" cm="1">
        <f t="array" ref="Q716:R716">_xlfn.TEXTSPLIT(N716,"/")</f>
        <v>music</v>
      </c>
      <c r="R716" t="str">
        <v>rock</v>
      </c>
      <c r="S716" s="10">
        <f t="shared" ref="S716:T716" si="720">(((J716/60)/60)/24)+DATE(1970,1,1)</f>
        <v>41870.208333333336</v>
      </c>
      <c r="T716" s="10">
        <f t="shared" si="720"/>
        <v>41871.208333333336</v>
      </c>
    </row>
    <row r="717" spans="1:20" ht="15.75" customHeight="1" x14ac:dyDescent="0.25">
      <c r="A717" s="5">
        <v>715</v>
      </c>
      <c r="B717" s="6" t="s">
        <v>1476</v>
      </c>
      <c r="C717" s="7" t="s">
        <v>1477</v>
      </c>
      <c r="D717" s="5">
        <v>118000</v>
      </c>
      <c r="E717" s="5">
        <v>28870</v>
      </c>
      <c r="F717" s="5" t="s">
        <v>22</v>
      </c>
      <c r="G717" s="5">
        <v>656</v>
      </c>
      <c r="H717" s="5" t="s">
        <v>29</v>
      </c>
      <c r="I717" s="5" t="s">
        <v>30</v>
      </c>
      <c r="J717" s="5">
        <v>1281157200</v>
      </c>
      <c r="K717" s="5">
        <v>1281589200</v>
      </c>
      <c r="L717" s="5" t="b">
        <v>0</v>
      </c>
      <c r="M717" s="5" t="b">
        <v>0</v>
      </c>
      <c r="N717" s="5" t="s">
        <v>300</v>
      </c>
      <c r="O717" s="8">
        <f t="shared" si="515"/>
        <v>0.24466101694915254</v>
      </c>
      <c r="P717" s="9">
        <f t="shared" si="505"/>
        <v>44.009146341463413</v>
      </c>
      <c r="Q717" s="5" t="str" cm="1">
        <f t="array" ref="Q717:R717">_xlfn.TEXTSPLIT(N717,"/")</f>
        <v>games</v>
      </c>
      <c r="R717" t="str">
        <v>mobile games</v>
      </c>
      <c r="S717" s="10">
        <f t="shared" ref="S717:T717" si="721">(((J717/60)/60)/24)+DATE(1970,1,1)</f>
        <v>40397.208333333336</v>
      </c>
      <c r="T717" s="10">
        <f t="shared" si="721"/>
        <v>40402.208333333336</v>
      </c>
    </row>
    <row r="718" spans="1:20" ht="15.75" customHeight="1" x14ac:dyDescent="0.25">
      <c r="A718" s="5">
        <v>716</v>
      </c>
      <c r="B718" s="6" t="s">
        <v>1478</v>
      </c>
      <c r="C718" s="7" t="s">
        <v>1479</v>
      </c>
      <c r="D718" s="5">
        <v>2000</v>
      </c>
      <c r="E718" s="5">
        <v>10353</v>
      </c>
      <c r="F718" s="5" t="s">
        <v>28</v>
      </c>
      <c r="G718" s="5">
        <v>157</v>
      </c>
      <c r="H718" s="5" t="s">
        <v>29</v>
      </c>
      <c r="I718" s="5" t="s">
        <v>30</v>
      </c>
      <c r="J718" s="5">
        <v>1373432400</v>
      </c>
      <c r="K718" s="5">
        <v>1375851600</v>
      </c>
      <c r="L718" s="5" t="b">
        <v>0</v>
      </c>
      <c r="M718" s="5" t="b">
        <v>1</v>
      </c>
      <c r="N718" s="5" t="s">
        <v>41</v>
      </c>
      <c r="O718" s="8">
        <f t="shared" si="515"/>
        <v>5.1764999999999999</v>
      </c>
      <c r="P718" s="9">
        <f t="shared" si="505"/>
        <v>65.942675159235662</v>
      </c>
      <c r="Q718" s="5" t="str" cm="1">
        <f t="array" ref="Q718:R718">_xlfn.TEXTSPLIT(N718,"/")</f>
        <v>theater</v>
      </c>
      <c r="R718" t="str">
        <v>plays</v>
      </c>
      <c r="S718" s="10">
        <f t="shared" ref="S718:T718" si="722">(((J718/60)/60)/24)+DATE(1970,1,1)</f>
        <v>41465.208333333336</v>
      </c>
      <c r="T718" s="10">
        <f t="shared" si="722"/>
        <v>41493.208333333336</v>
      </c>
    </row>
    <row r="719" spans="1:20" ht="15.75" customHeight="1" x14ac:dyDescent="0.25">
      <c r="A719" s="5">
        <v>717</v>
      </c>
      <c r="B719" s="6" t="s">
        <v>1480</v>
      </c>
      <c r="C719" s="7" t="s">
        <v>1481</v>
      </c>
      <c r="D719" s="5">
        <v>5600</v>
      </c>
      <c r="E719" s="5">
        <v>13868</v>
      </c>
      <c r="F719" s="5" t="s">
        <v>28</v>
      </c>
      <c r="G719" s="5">
        <v>555</v>
      </c>
      <c r="H719" s="5" t="s">
        <v>29</v>
      </c>
      <c r="I719" s="5" t="s">
        <v>30</v>
      </c>
      <c r="J719" s="5">
        <v>1313989200</v>
      </c>
      <c r="K719" s="5">
        <v>1315803600</v>
      </c>
      <c r="L719" s="5" t="b">
        <v>0</v>
      </c>
      <c r="M719" s="5" t="b">
        <v>0</v>
      </c>
      <c r="N719" s="5" t="s">
        <v>50</v>
      </c>
      <c r="O719" s="8">
        <f t="shared" si="515"/>
        <v>2.4764285714285714</v>
      </c>
      <c r="P719" s="9">
        <f t="shared" si="505"/>
        <v>24.987387387387386</v>
      </c>
      <c r="Q719" s="5" t="str" cm="1">
        <f t="array" ref="Q719:R719">_xlfn.TEXTSPLIT(N719,"/")</f>
        <v>film &amp; video</v>
      </c>
      <c r="R719" t="str">
        <v>documentary</v>
      </c>
      <c r="S719" s="10">
        <f t="shared" ref="S719:T719" si="723">(((J719/60)/60)/24)+DATE(1970,1,1)</f>
        <v>40777.208333333336</v>
      </c>
      <c r="T719" s="10">
        <f t="shared" si="723"/>
        <v>40798.208333333336</v>
      </c>
    </row>
    <row r="720" spans="1:20" ht="15.75" customHeight="1" x14ac:dyDescent="0.25">
      <c r="A720" s="5">
        <v>718</v>
      </c>
      <c r="B720" s="6" t="s">
        <v>1482</v>
      </c>
      <c r="C720" s="7" t="s">
        <v>1483</v>
      </c>
      <c r="D720" s="5">
        <v>8300</v>
      </c>
      <c r="E720" s="5">
        <v>8317</v>
      </c>
      <c r="F720" s="5" t="s">
        <v>28</v>
      </c>
      <c r="G720" s="5">
        <v>297</v>
      </c>
      <c r="H720" s="5" t="s">
        <v>29</v>
      </c>
      <c r="I720" s="5" t="s">
        <v>30</v>
      </c>
      <c r="J720" s="5">
        <v>1371445200</v>
      </c>
      <c r="K720" s="5">
        <v>1373691600</v>
      </c>
      <c r="L720" s="5" t="b">
        <v>0</v>
      </c>
      <c r="M720" s="5" t="b">
        <v>0</v>
      </c>
      <c r="N720" s="5" t="s">
        <v>73</v>
      </c>
      <c r="O720" s="8">
        <f t="shared" si="515"/>
        <v>1.0020481927710843</v>
      </c>
      <c r="P720" s="9">
        <f t="shared" si="505"/>
        <v>28.003367003367003</v>
      </c>
      <c r="Q720" s="5" t="str" cm="1">
        <f t="array" ref="Q720:R720">_xlfn.TEXTSPLIT(N720,"/")</f>
        <v>technology</v>
      </c>
      <c r="R720" t="str">
        <v>wearables</v>
      </c>
      <c r="S720" s="10">
        <f t="shared" ref="S720:T720" si="724">(((J720/60)/60)/24)+DATE(1970,1,1)</f>
        <v>41442.208333333336</v>
      </c>
      <c r="T720" s="10">
        <f t="shared" si="724"/>
        <v>41468.208333333336</v>
      </c>
    </row>
    <row r="721" spans="1:20" ht="15.75" customHeight="1" x14ac:dyDescent="0.25">
      <c r="A721" s="5">
        <v>719</v>
      </c>
      <c r="B721" s="6" t="s">
        <v>1484</v>
      </c>
      <c r="C721" s="7" t="s">
        <v>1485</v>
      </c>
      <c r="D721" s="5">
        <v>6900</v>
      </c>
      <c r="E721" s="5">
        <v>10557</v>
      </c>
      <c r="F721" s="5" t="s">
        <v>28</v>
      </c>
      <c r="G721" s="5">
        <v>123</v>
      </c>
      <c r="H721" s="5" t="s">
        <v>29</v>
      </c>
      <c r="I721" s="5" t="s">
        <v>30</v>
      </c>
      <c r="J721" s="5">
        <v>1338267600</v>
      </c>
      <c r="K721" s="5">
        <v>1339218000</v>
      </c>
      <c r="L721" s="5" t="b">
        <v>0</v>
      </c>
      <c r="M721" s="5" t="b">
        <v>0</v>
      </c>
      <c r="N721" s="5" t="s">
        <v>127</v>
      </c>
      <c r="O721" s="8">
        <f t="shared" si="515"/>
        <v>1.53</v>
      </c>
      <c r="P721" s="9">
        <f t="shared" si="505"/>
        <v>85.829268292682926</v>
      </c>
      <c r="Q721" s="5" t="str" cm="1">
        <f t="array" ref="Q721:R721">_xlfn.TEXTSPLIT(N721,"/")</f>
        <v>publishing</v>
      </c>
      <c r="R721" t="str">
        <v>fiction</v>
      </c>
      <c r="S721" s="10">
        <f t="shared" ref="S721:T721" si="725">(((J721/60)/60)/24)+DATE(1970,1,1)</f>
        <v>41058.208333333336</v>
      </c>
      <c r="T721" s="10">
        <f t="shared" si="725"/>
        <v>41069.208333333336</v>
      </c>
    </row>
    <row r="722" spans="1:20" ht="15.75" customHeight="1" x14ac:dyDescent="0.25">
      <c r="A722" s="5">
        <v>720</v>
      </c>
      <c r="B722" s="6" t="s">
        <v>1486</v>
      </c>
      <c r="C722" s="7" t="s">
        <v>1487</v>
      </c>
      <c r="D722" s="5">
        <v>8700</v>
      </c>
      <c r="E722" s="5">
        <v>3227</v>
      </c>
      <c r="F722" s="5" t="s">
        <v>82</v>
      </c>
      <c r="G722" s="5">
        <v>38</v>
      </c>
      <c r="H722" s="5" t="s">
        <v>44</v>
      </c>
      <c r="I722" s="5" t="s">
        <v>45</v>
      </c>
      <c r="J722" s="5">
        <v>1519192800</v>
      </c>
      <c r="K722" s="5">
        <v>1520402400</v>
      </c>
      <c r="L722" s="5" t="b">
        <v>0</v>
      </c>
      <c r="M722" s="5" t="b">
        <v>1</v>
      </c>
      <c r="N722" s="5" t="s">
        <v>41</v>
      </c>
      <c r="O722" s="8">
        <f t="shared" si="515"/>
        <v>0.37091954022988505</v>
      </c>
      <c r="P722" s="9">
        <f t="shared" si="505"/>
        <v>84.921052631578945</v>
      </c>
      <c r="Q722" s="5" t="str" cm="1">
        <f t="array" ref="Q722:R722">_xlfn.TEXTSPLIT(N722,"/")</f>
        <v>theater</v>
      </c>
      <c r="R722" t="str">
        <v>plays</v>
      </c>
      <c r="S722" s="10">
        <f t="shared" ref="S722:T722" si="726">(((J722/60)/60)/24)+DATE(1970,1,1)</f>
        <v>43152.25</v>
      </c>
      <c r="T722" s="10">
        <f t="shared" si="726"/>
        <v>43166.25</v>
      </c>
    </row>
    <row r="723" spans="1:20" ht="15.75" customHeight="1" x14ac:dyDescent="0.25">
      <c r="A723" s="5">
        <v>721</v>
      </c>
      <c r="B723" s="6" t="s">
        <v>1488</v>
      </c>
      <c r="C723" s="7" t="s">
        <v>1489</v>
      </c>
      <c r="D723" s="5">
        <v>123600</v>
      </c>
      <c r="E723" s="5">
        <v>5429</v>
      </c>
      <c r="F723" s="5" t="s">
        <v>82</v>
      </c>
      <c r="G723" s="5">
        <v>60</v>
      </c>
      <c r="H723" s="5" t="s">
        <v>29</v>
      </c>
      <c r="I723" s="5" t="s">
        <v>30</v>
      </c>
      <c r="J723" s="5">
        <v>1522818000</v>
      </c>
      <c r="K723" s="5">
        <v>1523336400</v>
      </c>
      <c r="L723" s="5" t="b">
        <v>0</v>
      </c>
      <c r="M723" s="5" t="b">
        <v>0</v>
      </c>
      <c r="N723" s="5" t="s">
        <v>31</v>
      </c>
      <c r="O723" s="8">
        <f t="shared" si="515"/>
        <v>4.3923948220064728E-2</v>
      </c>
      <c r="P723" s="9">
        <f t="shared" si="505"/>
        <v>90.483333333333334</v>
      </c>
      <c r="Q723" s="5" t="str" cm="1">
        <f t="array" ref="Q723:R723">_xlfn.TEXTSPLIT(N723,"/")</f>
        <v>music</v>
      </c>
      <c r="R723" t="str">
        <v>rock</v>
      </c>
      <c r="S723" s="10">
        <f t="shared" ref="S723:T723" si="727">(((J723/60)/60)/24)+DATE(1970,1,1)</f>
        <v>43194.208333333328</v>
      </c>
      <c r="T723" s="10">
        <f t="shared" si="727"/>
        <v>43200.208333333328</v>
      </c>
    </row>
    <row r="724" spans="1:20" ht="15.75" customHeight="1" x14ac:dyDescent="0.25">
      <c r="A724" s="5">
        <v>722</v>
      </c>
      <c r="B724" s="6" t="s">
        <v>1490</v>
      </c>
      <c r="C724" s="7" t="s">
        <v>1491</v>
      </c>
      <c r="D724" s="5">
        <v>48500</v>
      </c>
      <c r="E724" s="5">
        <v>75906</v>
      </c>
      <c r="F724" s="5" t="s">
        <v>28</v>
      </c>
      <c r="G724" s="5">
        <v>3036</v>
      </c>
      <c r="H724" s="5" t="s">
        <v>29</v>
      </c>
      <c r="I724" s="5" t="s">
        <v>30</v>
      </c>
      <c r="J724" s="5">
        <v>1509948000</v>
      </c>
      <c r="K724" s="5">
        <v>1512280800</v>
      </c>
      <c r="L724" s="5" t="b">
        <v>0</v>
      </c>
      <c r="M724" s="5" t="b">
        <v>0</v>
      </c>
      <c r="N724" s="5" t="s">
        <v>50</v>
      </c>
      <c r="O724" s="8">
        <f t="shared" si="515"/>
        <v>1.5650721649484536</v>
      </c>
      <c r="P724" s="9">
        <f t="shared" si="505"/>
        <v>25.00197628458498</v>
      </c>
      <c r="Q724" s="5" t="str" cm="1">
        <f t="array" ref="Q724:R724">_xlfn.TEXTSPLIT(N724,"/")</f>
        <v>film &amp; video</v>
      </c>
      <c r="R724" t="str">
        <v>documentary</v>
      </c>
      <c r="S724" s="10">
        <f t="shared" ref="S724:T724" si="728">(((J724/60)/60)/24)+DATE(1970,1,1)</f>
        <v>43045.25</v>
      </c>
      <c r="T724" s="10">
        <f t="shared" si="728"/>
        <v>43072.25</v>
      </c>
    </row>
    <row r="725" spans="1:20" ht="15.75" customHeight="1" x14ac:dyDescent="0.25">
      <c r="A725" s="5">
        <v>723</v>
      </c>
      <c r="B725" s="6" t="s">
        <v>1492</v>
      </c>
      <c r="C725" s="7" t="s">
        <v>1493</v>
      </c>
      <c r="D725" s="5">
        <v>4900</v>
      </c>
      <c r="E725" s="5">
        <v>13250</v>
      </c>
      <c r="F725" s="5" t="s">
        <v>28</v>
      </c>
      <c r="G725" s="5">
        <v>144</v>
      </c>
      <c r="H725" s="5" t="s">
        <v>34</v>
      </c>
      <c r="I725" s="5" t="s">
        <v>35</v>
      </c>
      <c r="J725" s="5">
        <v>1456898400</v>
      </c>
      <c r="K725" s="5">
        <v>1458709200</v>
      </c>
      <c r="L725" s="5" t="b">
        <v>0</v>
      </c>
      <c r="M725" s="5" t="b">
        <v>0</v>
      </c>
      <c r="N725" s="5" t="s">
        <v>41</v>
      </c>
      <c r="O725" s="8">
        <f t="shared" si="515"/>
        <v>2.704081632653061</v>
      </c>
      <c r="P725" s="9">
        <f t="shared" si="505"/>
        <v>92.013888888888886</v>
      </c>
      <c r="Q725" s="5" t="str" cm="1">
        <f t="array" ref="Q725:R725">_xlfn.TEXTSPLIT(N725,"/")</f>
        <v>theater</v>
      </c>
      <c r="R725" t="str">
        <v>plays</v>
      </c>
      <c r="S725" s="10">
        <f t="shared" ref="S725:T725" si="729">(((J725/60)/60)/24)+DATE(1970,1,1)</f>
        <v>42431.25</v>
      </c>
      <c r="T725" s="10">
        <f t="shared" si="729"/>
        <v>42452.208333333328</v>
      </c>
    </row>
    <row r="726" spans="1:20" ht="15.75" customHeight="1" x14ac:dyDescent="0.25">
      <c r="A726" s="5">
        <v>724</v>
      </c>
      <c r="B726" s="6" t="s">
        <v>1494</v>
      </c>
      <c r="C726" s="7" t="s">
        <v>1495</v>
      </c>
      <c r="D726" s="5">
        <v>8400</v>
      </c>
      <c r="E726" s="5">
        <v>11261</v>
      </c>
      <c r="F726" s="5" t="s">
        <v>28</v>
      </c>
      <c r="G726" s="5">
        <v>121</v>
      </c>
      <c r="H726" s="5" t="s">
        <v>48</v>
      </c>
      <c r="I726" s="5" t="s">
        <v>49</v>
      </c>
      <c r="J726" s="5">
        <v>1413954000</v>
      </c>
      <c r="K726" s="5">
        <v>1414126800</v>
      </c>
      <c r="L726" s="5" t="b">
        <v>0</v>
      </c>
      <c r="M726" s="5" t="b">
        <v>1</v>
      </c>
      <c r="N726" s="5" t="s">
        <v>41</v>
      </c>
      <c r="O726" s="8">
        <f t="shared" si="515"/>
        <v>1.3405952380952382</v>
      </c>
      <c r="P726" s="9">
        <f t="shared" si="505"/>
        <v>93.066115702479337</v>
      </c>
      <c r="Q726" s="5" t="str" cm="1">
        <f t="array" ref="Q726:R726">_xlfn.TEXTSPLIT(N726,"/")</f>
        <v>theater</v>
      </c>
      <c r="R726" t="str">
        <v>plays</v>
      </c>
      <c r="S726" s="10">
        <f t="shared" ref="S726:T726" si="730">(((J726/60)/60)/24)+DATE(1970,1,1)</f>
        <v>41934.208333333336</v>
      </c>
      <c r="T726" s="10">
        <f t="shared" si="730"/>
        <v>41936.208333333336</v>
      </c>
    </row>
    <row r="727" spans="1:20" ht="15.75" customHeight="1" x14ac:dyDescent="0.25">
      <c r="A727" s="5">
        <v>725</v>
      </c>
      <c r="B727" s="6" t="s">
        <v>1496</v>
      </c>
      <c r="C727" s="7" t="s">
        <v>1497</v>
      </c>
      <c r="D727" s="5">
        <v>193200</v>
      </c>
      <c r="E727" s="5">
        <v>97369</v>
      </c>
      <c r="F727" s="5" t="s">
        <v>22</v>
      </c>
      <c r="G727" s="5">
        <v>1596</v>
      </c>
      <c r="H727" s="5" t="s">
        <v>29</v>
      </c>
      <c r="I727" s="5" t="s">
        <v>30</v>
      </c>
      <c r="J727" s="5">
        <v>1416031200</v>
      </c>
      <c r="K727" s="5">
        <v>1416204000</v>
      </c>
      <c r="L727" s="5" t="b">
        <v>0</v>
      </c>
      <c r="M727" s="5" t="b">
        <v>0</v>
      </c>
      <c r="N727" s="5" t="s">
        <v>300</v>
      </c>
      <c r="O727" s="8">
        <f t="shared" si="515"/>
        <v>0.50398033126293995</v>
      </c>
      <c r="P727" s="9">
        <f t="shared" si="505"/>
        <v>61.008145363408524</v>
      </c>
      <c r="Q727" s="5" t="str" cm="1">
        <f t="array" ref="Q727:R727">_xlfn.TEXTSPLIT(N727,"/")</f>
        <v>games</v>
      </c>
      <c r="R727" t="str">
        <v>mobile games</v>
      </c>
      <c r="S727" s="10">
        <f t="shared" ref="S727:T727" si="731">(((J727/60)/60)/24)+DATE(1970,1,1)</f>
        <v>41958.25</v>
      </c>
      <c r="T727" s="10">
        <f t="shared" si="731"/>
        <v>41960.25</v>
      </c>
    </row>
    <row r="728" spans="1:20" ht="15.75" customHeight="1" x14ac:dyDescent="0.25">
      <c r="A728" s="5">
        <v>726</v>
      </c>
      <c r="B728" s="6" t="s">
        <v>1498</v>
      </c>
      <c r="C728" s="7" t="s">
        <v>1499</v>
      </c>
      <c r="D728" s="5">
        <v>54300</v>
      </c>
      <c r="E728" s="5">
        <v>48227</v>
      </c>
      <c r="F728" s="5" t="s">
        <v>82</v>
      </c>
      <c r="G728" s="5">
        <v>524</v>
      </c>
      <c r="H728" s="5" t="s">
        <v>29</v>
      </c>
      <c r="I728" s="5" t="s">
        <v>30</v>
      </c>
      <c r="J728" s="5">
        <v>1287982800</v>
      </c>
      <c r="K728" s="5">
        <v>1288501200</v>
      </c>
      <c r="L728" s="5" t="b">
        <v>0</v>
      </c>
      <c r="M728" s="5" t="b">
        <v>1</v>
      </c>
      <c r="N728" s="5" t="s">
        <v>41</v>
      </c>
      <c r="O728" s="8">
        <f t="shared" si="515"/>
        <v>0.88815837937384901</v>
      </c>
      <c r="P728" s="9">
        <f t="shared" si="505"/>
        <v>92.036259541984734</v>
      </c>
      <c r="Q728" s="5" t="str" cm="1">
        <f t="array" ref="Q728:R728">_xlfn.TEXTSPLIT(N728,"/")</f>
        <v>theater</v>
      </c>
      <c r="R728" t="str">
        <v>plays</v>
      </c>
      <c r="S728" s="10">
        <f t="shared" ref="S728:T728" si="732">(((J728/60)/60)/24)+DATE(1970,1,1)</f>
        <v>40476.208333333336</v>
      </c>
      <c r="T728" s="10">
        <f t="shared" si="732"/>
        <v>40482.208333333336</v>
      </c>
    </row>
    <row r="729" spans="1:20" ht="15.75" customHeight="1" x14ac:dyDescent="0.25">
      <c r="A729" s="5">
        <v>727</v>
      </c>
      <c r="B729" s="6" t="s">
        <v>1500</v>
      </c>
      <c r="C729" s="7" t="s">
        <v>1501</v>
      </c>
      <c r="D729" s="5">
        <v>8900</v>
      </c>
      <c r="E729" s="5">
        <v>14685</v>
      </c>
      <c r="F729" s="5" t="s">
        <v>28</v>
      </c>
      <c r="G729" s="5">
        <v>181</v>
      </c>
      <c r="H729" s="5" t="s">
        <v>29</v>
      </c>
      <c r="I729" s="5" t="s">
        <v>30</v>
      </c>
      <c r="J729" s="5">
        <v>1547964000</v>
      </c>
      <c r="K729" s="5">
        <v>1552971600</v>
      </c>
      <c r="L729" s="5" t="b">
        <v>0</v>
      </c>
      <c r="M729" s="5" t="b">
        <v>0</v>
      </c>
      <c r="N729" s="5" t="s">
        <v>36</v>
      </c>
      <c r="O729" s="8">
        <f t="shared" si="515"/>
        <v>1.65</v>
      </c>
      <c r="P729" s="9">
        <f t="shared" si="505"/>
        <v>81.132596685082873</v>
      </c>
      <c r="Q729" s="5" t="str" cm="1">
        <f t="array" ref="Q729:R729">_xlfn.TEXTSPLIT(N729,"/")</f>
        <v>technology</v>
      </c>
      <c r="R729" t="str">
        <v>web</v>
      </c>
      <c r="S729" s="10">
        <f t="shared" ref="S729:T729" si="733">(((J729/60)/60)/24)+DATE(1970,1,1)</f>
        <v>43485.25</v>
      </c>
      <c r="T729" s="10">
        <f t="shared" si="733"/>
        <v>43543.208333333328</v>
      </c>
    </row>
    <row r="730" spans="1:20" ht="15.75" customHeight="1" x14ac:dyDescent="0.25">
      <c r="A730" s="5">
        <v>728</v>
      </c>
      <c r="B730" s="6" t="s">
        <v>1502</v>
      </c>
      <c r="C730" s="7" t="s">
        <v>1503</v>
      </c>
      <c r="D730" s="5">
        <v>4200</v>
      </c>
      <c r="E730" s="5">
        <v>735</v>
      </c>
      <c r="F730" s="5" t="s">
        <v>22</v>
      </c>
      <c r="G730" s="5">
        <v>10</v>
      </c>
      <c r="H730" s="5" t="s">
        <v>29</v>
      </c>
      <c r="I730" s="5" t="s">
        <v>30</v>
      </c>
      <c r="J730" s="5">
        <v>1464152400</v>
      </c>
      <c r="K730" s="5">
        <v>1465102800</v>
      </c>
      <c r="L730" s="5" t="b">
        <v>0</v>
      </c>
      <c r="M730" s="5" t="b">
        <v>0</v>
      </c>
      <c r="N730" s="5" t="s">
        <v>41</v>
      </c>
      <c r="O730" s="8">
        <f t="shared" si="515"/>
        <v>0.17499999999999999</v>
      </c>
      <c r="P730" s="9">
        <f t="shared" si="505"/>
        <v>73.5</v>
      </c>
      <c r="Q730" s="5" t="str" cm="1">
        <f t="array" ref="Q730:R730">_xlfn.TEXTSPLIT(N730,"/")</f>
        <v>theater</v>
      </c>
      <c r="R730" t="str">
        <v>plays</v>
      </c>
      <c r="S730" s="10">
        <f t="shared" ref="S730:T730" si="734">(((J730/60)/60)/24)+DATE(1970,1,1)</f>
        <v>42515.208333333328</v>
      </c>
      <c r="T730" s="10">
        <f t="shared" si="734"/>
        <v>42526.208333333328</v>
      </c>
    </row>
    <row r="731" spans="1:20" ht="15.75" customHeight="1" x14ac:dyDescent="0.25">
      <c r="A731" s="5">
        <v>729</v>
      </c>
      <c r="B731" s="6" t="s">
        <v>1504</v>
      </c>
      <c r="C731" s="7" t="s">
        <v>1505</v>
      </c>
      <c r="D731" s="5">
        <v>5600</v>
      </c>
      <c r="E731" s="5">
        <v>10397</v>
      </c>
      <c r="F731" s="5" t="s">
        <v>28</v>
      </c>
      <c r="G731" s="5">
        <v>122</v>
      </c>
      <c r="H731" s="5" t="s">
        <v>29</v>
      </c>
      <c r="I731" s="5" t="s">
        <v>30</v>
      </c>
      <c r="J731" s="5">
        <v>1359957600</v>
      </c>
      <c r="K731" s="5">
        <v>1360130400</v>
      </c>
      <c r="L731" s="5" t="b">
        <v>0</v>
      </c>
      <c r="M731" s="5" t="b">
        <v>0</v>
      </c>
      <c r="N731" s="5" t="s">
        <v>61</v>
      </c>
      <c r="O731" s="8">
        <f t="shared" si="515"/>
        <v>1.8566071428571429</v>
      </c>
      <c r="P731" s="9">
        <f t="shared" si="505"/>
        <v>85.221311475409834</v>
      </c>
      <c r="Q731" s="5" t="str" cm="1">
        <f t="array" ref="Q731:R731">_xlfn.TEXTSPLIT(N731,"/")</f>
        <v>film &amp; video</v>
      </c>
      <c r="R731" t="str">
        <v>drama</v>
      </c>
      <c r="S731" s="10">
        <f t="shared" ref="S731:T731" si="735">(((J731/60)/60)/24)+DATE(1970,1,1)</f>
        <v>41309.25</v>
      </c>
      <c r="T731" s="10">
        <f t="shared" si="735"/>
        <v>41311.25</v>
      </c>
    </row>
    <row r="732" spans="1:20" ht="15.75" customHeight="1" x14ac:dyDescent="0.25">
      <c r="A732" s="5">
        <v>730</v>
      </c>
      <c r="B732" s="6" t="s">
        <v>1506</v>
      </c>
      <c r="C732" s="7" t="s">
        <v>1507</v>
      </c>
      <c r="D732" s="5">
        <v>28800</v>
      </c>
      <c r="E732" s="5">
        <v>118847</v>
      </c>
      <c r="F732" s="5" t="s">
        <v>28</v>
      </c>
      <c r="G732" s="5">
        <v>1071</v>
      </c>
      <c r="H732" s="5" t="s">
        <v>23</v>
      </c>
      <c r="I732" s="5" t="s">
        <v>24</v>
      </c>
      <c r="J732" s="5">
        <v>1432357200</v>
      </c>
      <c r="K732" s="5">
        <v>1432875600</v>
      </c>
      <c r="L732" s="5" t="b">
        <v>0</v>
      </c>
      <c r="M732" s="5" t="b">
        <v>0</v>
      </c>
      <c r="N732" s="5" t="s">
        <v>73</v>
      </c>
      <c r="O732" s="8">
        <f t="shared" si="515"/>
        <v>4.1266319444444441</v>
      </c>
      <c r="P732" s="9">
        <f t="shared" si="505"/>
        <v>110.96825396825396</v>
      </c>
      <c r="Q732" s="5" t="str" cm="1">
        <f t="array" ref="Q732:R732">_xlfn.TEXTSPLIT(N732,"/")</f>
        <v>technology</v>
      </c>
      <c r="R732" t="str">
        <v>wearables</v>
      </c>
      <c r="S732" s="10">
        <f t="shared" ref="S732:T732" si="736">(((J732/60)/60)/24)+DATE(1970,1,1)</f>
        <v>42147.208333333328</v>
      </c>
      <c r="T732" s="10">
        <f t="shared" si="736"/>
        <v>42153.208333333328</v>
      </c>
    </row>
    <row r="733" spans="1:20" ht="15.75" customHeight="1" x14ac:dyDescent="0.25">
      <c r="A733" s="5">
        <v>731</v>
      </c>
      <c r="B733" s="6" t="s">
        <v>1508</v>
      </c>
      <c r="C733" s="7" t="s">
        <v>1509</v>
      </c>
      <c r="D733" s="5">
        <v>8000</v>
      </c>
      <c r="E733" s="5">
        <v>7220</v>
      </c>
      <c r="F733" s="5" t="s">
        <v>82</v>
      </c>
      <c r="G733" s="5">
        <v>219</v>
      </c>
      <c r="H733" s="5" t="s">
        <v>29</v>
      </c>
      <c r="I733" s="5" t="s">
        <v>30</v>
      </c>
      <c r="J733" s="5">
        <v>1500786000</v>
      </c>
      <c r="K733" s="5">
        <v>1500872400</v>
      </c>
      <c r="L733" s="5" t="b">
        <v>0</v>
      </c>
      <c r="M733" s="5" t="b">
        <v>0</v>
      </c>
      <c r="N733" s="5" t="s">
        <v>36</v>
      </c>
      <c r="O733" s="8">
        <f t="shared" si="515"/>
        <v>0.90249999999999997</v>
      </c>
      <c r="P733" s="9">
        <f t="shared" si="505"/>
        <v>32.968036529680369</v>
      </c>
      <c r="Q733" s="5" t="str" cm="1">
        <f t="array" ref="Q733:R733">_xlfn.TEXTSPLIT(N733,"/")</f>
        <v>technology</v>
      </c>
      <c r="R733" t="str">
        <v>web</v>
      </c>
      <c r="S733" s="10">
        <f t="shared" ref="S733:T733" si="737">(((J733/60)/60)/24)+DATE(1970,1,1)</f>
        <v>42939.208333333328</v>
      </c>
      <c r="T733" s="10">
        <f t="shared" si="737"/>
        <v>42940.208333333328</v>
      </c>
    </row>
    <row r="734" spans="1:20" ht="15.75" customHeight="1" x14ac:dyDescent="0.25">
      <c r="A734" s="5">
        <v>732</v>
      </c>
      <c r="B734" s="6" t="s">
        <v>1510</v>
      </c>
      <c r="C734" s="7" t="s">
        <v>1511</v>
      </c>
      <c r="D734" s="5">
        <v>117000</v>
      </c>
      <c r="E734" s="5">
        <v>107622</v>
      </c>
      <c r="F734" s="5" t="s">
        <v>22</v>
      </c>
      <c r="G734" s="5">
        <v>1121</v>
      </c>
      <c r="H734" s="5" t="s">
        <v>29</v>
      </c>
      <c r="I734" s="5" t="s">
        <v>30</v>
      </c>
      <c r="J734" s="5">
        <v>1490158800</v>
      </c>
      <c r="K734" s="5">
        <v>1492146000</v>
      </c>
      <c r="L734" s="5" t="b">
        <v>0</v>
      </c>
      <c r="M734" s="5" t="b">
        <v>1</v>
      </c>
      <c r="N734" s="5" t="s">
        <v>31</v>
      </c>
      <c r="O734" s="8">
        <f t="shared" si="515"/>
        <v>0.91984615384615387</v>
      </c>
      <c r="P734" s="9">
        <f t="shared" si="505"/>
        <v>96.005352363960753</v>
      </c>
      <c r="Q734" s="5" t="str" cm="1">
        <f t="array" ref="Q734:R734">_xlfn.TEXTSPLIT(N734,"/")</f>
        <v>music</v>
      </c>
      <c r="R734" t="str">
        <v>rock</v>
      </c>
      <c r="S734" s="10">
        <f t="shared" ref="S734:T734" si="738">(((J734/60)/60)/24)+DATE(1970,1,1)</f>
        <v>42816.208333333328</v>
      </c>
      <c r="T734" s="10">
        <f t="shared" si="738"/>
        <v>42839.208333333328</v>
      </c>
    </row>
    <row r="735" spans="1:20" ht="15.75" customHeight="1" x14ac:dyDescent="0.25">
      <c r="A735" s="5">
        <v>733</v>
      </c>
      <c r="B735" s="6" t="s">
        <v>1512</v>
      </c>
      <c r="C735" s="7" t="s">
        <v>1513</v>
      </c>
      <c r="D735" s="5">
        <v>15800</v>
      </c>
      <c r="E735" s="5">
        <v>83267</v>
      </c>
      <c r="F735" s="5" t="s">
        <v>28</v>
      </c>
      <c r="G735" s="5">
        <v>980</v>
      </c>
      <c r="H735" s="5" t="s">
        <v>29</v>
      </c>
      <c r="I735" s="5" t="s">
        <v>30</v>
      </c>
      <c r="J735" s="5">
        <v>1406178000</v>
      </c>
      <c r="K735" s="5">
        <v>1407301200</v>
      </c>
      <c r="L735" s="5" t="b">
        <v>0</v>
      </c>
      <c r="M735" s="5" t="b">
        <v>0</v>
      </c>
      <c r="N735" s="5" t="s">
        <v>156</v>
      </c>
      <c r="O735" s="8">
        <f t="shared" si="515"/>
        <v>5.2700632911392402</v>
      </c>
      <c r="P735" s="9">
        <f t="shared" si="505"/>
        <v>84.96632653061225</v>
      </c>
      <c r="Q735" s="5" t="str" cm="1">
        <f t="array" ref="Q735:R735">_xlfn.TEXTSPLIT(N735,"/")</f>
        <v>music</v>
      </c>
      <c r="R735" t="str">
        <v>metal</v>
      </c>
      <c r="S735" s="10">
        <f t="shared" ref="S735:T735" si="739">(((J735/60)/60)/24)+DATE(1970,1,1)</f>
        <v>41844.208333333336</v>
      </c>
      <c r="T735" s="10">
        <f t="shared" si="739"/>
        <v>41857.208333333336</v>
      </c>
    </row>
    <row r="736" spans="1:20" ht="15.75" customHeight="1" x14ac:dyDescent="0.25">
      <c r="A736" s="5">
        <v>734</v>
      </c>
      <c r="B736" s="6" t="s">
        <v>1514</v>
      </c>
      <c r="C736" s="7" t="s">
        <v>1515</v>
      </c>
      <c r="D736" s="5">
        <v>4200</v>
      </c>
      <c r="E736" s="5">
        <v>13404</v>
      </c>
      <c r="F736" s="5" t="s">
        <v>28</v>
      </c>
      <c r="G736" s="5">
        <v>536</v>
      </c>
      <c r="H736" s="5" t="s">
        <v>29</v>
      </c>
      <c r="I736" s="5" t="s">
        <v>30</v>
      </c>
      <c r="J736" s="5">
        <v>1485583200</v>
      </c>
      <c r="K736" s="5">
        <v>1486620000</v>
      </c>
      <c r="L736" s="5" t="b">
        <v>0</v>
      </c>
      <c r="M736" s="5" t="b">
        <v>1</v>
      </c>
      <c r="N736" s="5" t="s">
        <v>41</v>
      </c>
      <c r="O736" s="8">
        <f t="shared" si="515"/>
        <v>3.1914285714285713</v>
      </c>
      <c r="P736" s="9">
        <f t="shared" si="505"/>
        <v>25.007462686567163</v>
      </c>
      <c r="Q736" s="5" t="str" cm="1">
        <f t="array" ref="Q736:R736">_xlfn.TEXTSPLIT(N736,"/")</f>
        <v>theater</v>
      </c>
      <c r="R736" t="str">
        <v>plays</v>
      </c>
      <c r="S736" s="10">
        <f t="shared" ref="S736:T736" si="740">(((J736/60)/60)/24)+DATE(1970,1,1)</f>
        <v>42763.25</v>
      </c>
      <c r="T736" s="10">
        <f t="shared" si="740"/>
        <v>42775.25</v>
      </c>
    </row>
    <row r="737" spans="1:20" ht="15.75" customHeight="1" x14ac:dyDescent="0.25">
      <c r="A737" s="5">
        <v>735</v>
      </c>
      <c r="B737" s="6" t="s">
        <v>1516</v>
      </c>
      <c r="C737" s="7" t="s">
        <v>1517</v>
      </c>
      <c r="D737" s="5">
        <v>37100</v>
      </c>
      <c r="E737" s="5">
        <v>131404</v>
      </c>
      <c r="F737" s="5" t="s">
        <v>28</v>
      </c>
      <c r="G737" s="5">
        <v>1991</v>
      </c>
      <c r="H737" s="5" t="s">
        <v>29</v>
      </c>
      <c r="I737" s="5" t="s">
        <v>30</v>
      </c>
      <c r="J737" s="5">
        <v>1459314000</v>
      </c>
      <c r="K737" s="5">
        <v>1459918800</v>
      </c>
      <c r="L737" s="5" t="b">
        <v>0</v>
      </c>
      <c r="M737" s="5" t="b">
        <v>0</v>
      </c>
      <c r="N737" s="5" t="s">
        <v>130</v>
      </c>
      <c r="O737" s="8">
        <f t="shared" si="515"/>
        <v>3.5418867924528303</v>
      </c>
      <c r="P737" s="9">
        <f t="shared" si="505"/>
        <v>65.998995479658461</v>
      </c>
      <c r="Q737" s="5" t="str" cm="1">
        <f t="array" ref="Q737:R737">_xlfn.TEXTSPLIT(N737,"/")</f>
        <v>photography</v>
      </c>
      <c r="R737" t="str">
        <v>photography books</v>
      </c>
      <c r="S737" s="10">
        <f t="shared" ref="S737:T737" si="741">(((J737/60)/60)/24)+DATE(1970,1,1)</f>
        <v>42459.208333333328</v>
      </c>
      <c r="T737" s="10">
        <f t="shared" si="741"/>
        <v>42466.208333333328</v>
      </c>
    </row>
    <row r="738" spans="1:20" ht="15.75" customHeight="1" x14ac:dyDescent="0.25">
      <c r="A738" s="5">
        <v>736</v>
      </c>
      <c r="B738" s="6" t="s">
        <v>1518</v>
      </c>
      <c r="C738" s="7" t="s">
        <v>1519</v>
      </c>
      <c r="D738" s="5">
        <v>7700</v>
      </c>
      <c r="E738" s="5">
        <v>2533</v>
      </c>
      <c r="F738" s="5" t="s">
        <v>82</v>
      </c>
      <c r="G738" s="5">
        <v>29</v>
      </c>
      <c r="H738" s="5" t="s">
        <v>29</v>
      </c>
      <c r="I738" s="5" t="s">
        <v>30</v>
      </c>
      <c r="J738" s="5">
        <v>1424412000</v>
      </c>
      <c r="K738" s="5">
        <v>1424757600</v>
      </c>
      <c r="L738" s="5" t="b">
        <v>0</v>
      </c>
      <c r="M738" s="5" t="b">
        <v>0</v>
      </c>
      <c r="N738" s="5" t="s">
        <v>76</v>
      </c>
      <c r="O738" s="8">
        <f t="shared" si="515"/>
        <v>0.32896103896103895</v>
      </c>
      <c r="P738" s="9">
        <f t="shared" si="505"/>
        <v>87.34482758620689</v>
      </c>
      <c r="Q738" s="5" t="str" cm="1">
        <f t="array" ref="Q738:R738">_xlfn.TEXTSPLIT(N738,"/")</f>
        <v>publishing</v>
      </c>
      <c r="R738" t="str">
        <v>nonfiction</v>
      </c>
      <c r="S738" s="10">
        <f t="shared" ref="S738:T738" si="742">(((J738/60)/60)/24)+DATE(1970,1,1)</f>
        <v>42055.25</v>
      </c>
      <c r="T738" s="10">
        <f t="shared" si="742"/>
        <v>42059.25</v>
      </c>
    </row>
    <row r="739" spans="1:20" ht="15.75" customHeight="1" x14ac:dyDescent="0.25">
      <c r="A739" s="5">
        <v>737</v>
      </c>
      <c r="B739" s="6" t="s">
        <v>1520</v>
      </c>
      <c r="C739" s="7" t="s">
        <v>1521</v>
      </c>
      <c r="D739" s="5">
        <v>3700</v>
      </c>
      <c r="E739" s="5">
        <v>5028</v>
      </c>
      <c r="F739" s="5" t="s">
        <v>28</v>
      </c>
      <c r="G739" s="5">
        <v>180</v>
      </c>
      <c r="H739" s="5" t="s">
        <v>29</v>
      </c>
      <c r="I739" s="5" t="s">
        <v>30</v>
      </c>
      <c r="J739" s="5">
        <v>1478844000</v>
      </c>
      <c r="K739" s="5">
        <v>1479880800</v>
      </c>
      <c r="L739" s="5" t="b">
        <v>0</v>
      </c>
      <c r="M739" s="5" t="b">
        <v>0</v>
      </c>
      <c r="N739" s="5" t="s">
        <v>68</v>
      </c>
      <c r="O739" s="8">
        <f t="shared" si="515"/>
        <v>1.358918918918919</v>
      </c>
      <c r="P739" s="9">
        <f t="shared" si="505"/>
        <v>27.933333333333334</v>
      </c>
      <c r="Q739" s="5" t="str" cm="1">
        <f t="array" ref="Q739:R739">_xlfn.TEXTSPLIT(N739,"/")</f>
        <v>music</v>
      </c>
      <c r="R739" t="str">
        <v>indie rock</v>
      </c>
      <c r="S739" s="10">
        <f t="shared" ref="S739:T739" si="743">(((J739/60)/60)/24)+DATE(1970,1,1)</f>
        <v>42685.25</v>
      </c>
      <c r="T739" s="10">
        <f t="shared" si="743"/>
        <v>42697.25</v>
      </c>
    </row>
    <row r="740" spans="1:20" ht="15.75" customHeight="1" x14ac:dyDescent="0.25">
      <c r="A740" s="5">
        <v>738</v>
      </c>
      <c r="B740" s="6" t="s">
        <v>1040</v>
      </c>
      <c r="C740" s="7" t="s">
        <v>1522</v>
      </c>
      <c r="D740" s="5">
        <v>74700</v>
      </c>
      <c r="E740" s="5">
        <v>1557</v>
      </c>
      <c r="F740" s="5" t="s">
        <v>22</v>
      </c>
      <c r="G740" s="5">
        <v>15</v>
      </c>
      <c r="H740" s="5" t="s">
        <v>29</v>
      </c>
      <c r="I740" s="5" t="s">
        <v>30</v>
      </c>
      <c r="J740" s="5">
        <v>1416117600</v>
      </c>
      <c r="K740" s="5">
        <v>1418018400</v>
      </c>
      <c r="L740" s="5" t="b">
        <v>0</v>
      </c>
      <c r="M740" s="5" t="b">
        <v>1</v>
      </c>
      <c r="N740" s="5" t="s">
        <v>41</v>
      </c>
      <c r="O740" s="8">
        <f t="shared" si="515"/>
        <v>2.0843373493975904E-2</v>
      </c>
      <c r="P740" s="9">
        <f t="shared" si="505"/>
        <v>103.8</v>
      </c>
      <c r="Q740" s="5" t="str" cm="1">
        <f t="array" ref="Q740:R740">_xlfn.TEXTSPLIT(N740,"/")</f>
        <v>theater</v>
      </c>
      <c r="R740" t="str">
        <v>plays</v>
      </c>
      <c r="S740" s="10">
        <f t="shared" ref="S740:T740" si="744">(((J740/60)/60)/24)+DATE(1970,1,1)</f>
        <v>41959.25</v>
      </c>
      <c r="T740" s="10">
        <f t="shared" si="744"/>
        <v>41981.25</v>
      </c>
    </row>
    <row r="741" spans="1:20" ht="15.75" customHeight="1" x14ac:dyDescent="0.25">
      <c r="A741" s="5">
        <v>739</v>
      </c>
      <c r="B741" s="6" t="s">
        <v>1523</v>
      </c>
      <c r="C741" s="7" t="s">
        <v>1524</v>
      </c>
      <c r="D741" s="5">
        <v>10000</v>
      </c>
      <c r="E741" s="5">
        <v>6100</v>
      </c>
      <c r="F741" s="5" t="s">
        <v>22</v>
      </c>
      <c r="G741" s="5">
        <v>191</v>
      </c>
      <c r="H741" s="5" t="s">
        <v>29</v>
      </c>
      <c r="I741" s="5" t="s">
        <v>30</v>
      </c>
      <c r="J741" s="5">
        <v>1340946000</v>
      </c>
      <c r="K741" s="5">
        <v>1341032400</v>
      </c>
      <c r="L741" s="5" t="b">
        <v>0</v>
      </c>
      <c r="M741" s="5" t="b">
        <v>0</v>
      </c>
      <c r="N741" s="5" t="s">
        <v>68</v>
      </c>
      <c r="O741" s="8">
        <f t="shared" si="515"/>
        <v>0.61</v>
      </c>
      <c r="P741" s="9">
        <f t="shared" si="505"/>
        <v>31.937172774869111</v>
      </c>
      <c r="Q741" s="5" t="str" cm="1">
        <f t="array" ref="Q741:R741">_xlfn.TEXTSPLIT(N741,"/")</f>
        <v>music</v>
      </c>
      <c r="R741" t="str">
        <v>indie rock</v>
      </c>
      <c r="S741" s="10">
        <f t="shared" ref="S741:T741" si="745">(((J741/60)/60)/24)+DATE(1970,1,1)</f>
        <v>41089.208333333336</v>
      </c>
      <c r="T741" s="10">
        <f t="shared" si="745"/>
        <v>41090.208333333336</v>
      </c>
    </row>
    <row r="742" spans="1:20" ht="15.75" customHeight="1" x14ac:dyDescent="0.25">
      <c r="A742" s="5">
        <v>740</v>
      </c>
      <c r="B742" s="6" t="s">
        <v>1525</v>
      </c>
      <c r="C742" s="7" t="s">
        <v>1526</v>
      </c>
      <c r="D742" s="5">
        <v>5300</v>
      </c>
      <c r="E742" s="5">
        <v>1592</v>
      </c>
      <c r="F742" s="5" t="s">
        <v>22</v>
      </c>
      <c r="G742" s="5">
        <v>16</v>
      </c>
      <c r="H742" s="5" t="s">
        <v>29</v>
      </c>
      <c r="I742" s="5" t="s">
        <v>30</v>
      </c>
      <c r="J742" s="5">
        <v>1486101600</v>
      </c>
      <c r="K742" s="5">
        <v>1486360800</v>
      </c>
      <c r="L742" s="5" t="b">
        <v>0</v>
      </c>
      <c r="M742" s="5" t="b">
        <v>0</v>
      </c>
      <c r="N742" s="5" t="s">
        <v>41</v>
      </c>
      <c r="O742" s="8">
        <f t="shared" si="515"/>
        <v>0.30037735849056602</v>
      </c>
      <c r="P742" s="9">
        <f t="shared" si="505"/>
        <v>99.5</v>
      </c>
      <c r="Q742" s="5" t="str" cm="1">
        <f t="array" ref="Q742:R742">_xlfn.TEXTSPLIT(N742,"/")</f>
        <v>theater</v>
      </c>
      <c r="R742" t="str">
        <v>plays</v>
      </c>
      <c r="S742" s="10">
        <f t="shared" ref="S742:T742" si="746">(((J742/60)/60)/24)+DATE(1970,1,1)</f>
        <v>42769.25</v>
      </c>
      <c r="T742" s="10">
        <f t="shared" si="746"/>
        <v>42772.25</v>
      </c>
    </row>
    <row r="743" spans="1:20" ht="15.75" customHeight="1" x14ac:dyDescent="0.25">
      <c r="A743" s="5">
        <v>741</v>
      </c>
      <c r="B743" s="6" t="s">
        <v>636</v>
      </c>
      <c r="C743" s="7" t="s">
        <v>1527</v>
      </c>
      <c r="D743" s="5">
        <v>1200</v>
      </c>
      <c r="E743" s="5">
        <v>14150</v>
      </c>
      <c r="F743" s="5" t="s">
        <v>28</v>
      </c>
      <c r="G743" s="5">
        <v>130</v>
      </c>
      <c r="H743" s="5" t="s">
        <v>29</v>
      </c>
      <c r="I743" s="5" t="s">
        <v>30</v>
      </c>
      <c r="J743" s="5">
        <v>1274590800</v>
      </c>
      <c r="K743" s="5">
        <v>1274677200</v>
      </c>
      <c r="L743" s="5" t="b">
        <v>0</v>
      </c>
      <c r="M743" s="5" t="b">
        <v>0</v>
      </c>
      <c r="N743" s="5" t="s">
        <v>41</v>
      </c>
      <c r="O743" s="8">
        <f t="shared" si="515"/>
        <v>11.791666666666666</v>
      </c>
      <c r="P743" s="9">
        <f t="shared" si="505"/>
        <v>108.84615384615384</v>
      </c>
      <c r="Q743" s="5" t="str" cm="1">
        <f t="array" ref="Q743:R743">_xlfn.TEXTSPLIT(N743,"/")</f>
        <v>theater</v>
      </c>
      <c r="R743" t="str">
        <v>plays</v>
      </c>
      <c r="S743" s="10">
        <f t="shared" ref="S743:T743" si="747">(((J743/60)/60)/24)+DATE(1970,1,1)</f>
        <v>40321.208333333336</v>
      </c>
      <c r="T743" s="10">
        <f t="shared" si="747"/>
        <v>40322.208333333336</v>
      </c>
    </row>
    <row r="744" spans="1:20" ht="15.75" customHeight="1" x14ac:dyDescent="0.25">
      <c r="A744" s="5">
        <v>742</v>
      </c>
      <c r="B744" s="6" t="s">
        <v>1528</v>
      </c>
      <c r="C744" s="7" t="s">
        <v>1529</v>
      </c>
      <c r="D744" s="5">
        <v>1200</v>
      </c>
      <c r="E744" s="5">
        <v>13513</v>
      </c>
      <c r="F744" s="5" t="s">
        <v>28</v>
      </c>
      <c r="G744" s="5">
        <v>122</v>
      </c>
      <c r="H744" s="5" t="s">
        <v>29</v>
      </c>
      <c r="I744" s="5" t="s">
        <v>30</v>
      </c>
      <c r="J744" s="5">
        <v>1263880800</v>
      </c>
      <c r="K744" s="5">
        <v>1267509600</v>
      </c>
      <c r="L744" s="5" t="b">
        <v>0</v>
      </c>
      <c r="M744" s="5" t="b">
        <v>0</v>
      </c>
      <c r="N744" s="5" t="s">
        <v>58</v>
      </c>
      <c r="O744" s="8">
        <f t="shared" si="515"/>
        <v>11.260833333333334</v>
      </c>
      <c r="P744" s="9">
        <f t="shared" si="505"/>
        <v>110.76229508196721</v>
      </c>
      <c r="Q744" s="5" t="str" cm="1">
        <f t="array" ref="Q744:R744">_xlfn.TEXTSPLIT(N744,"/")</f>
        <v>music</v>
      </c>
      <c r="R744" t="str">
        <v>electric music</v>
      </c>
      <c r="S744" s="10">
        <f t="shared" ref="S744:T744" si="748">(((J744/60)/60)/24)+DATE(1970,1,1)</f>
        <v>40197.25</v>
      </c>
      <c r="T744" s="10">
        <f t="shared" si="748"/>
        <v>40239.25</v>
      </c>
    </row>
    <row r="745" spans="1:20" ht="15.75" customHeight="1" x14ac:dyDescent="0.25">
      <c r="A745" s="5">
        <v>743</v>
      </c>
      <c r="B745" s="6" t="s">
        <v>1530</v>
      </c>
      <c r="C745" s="7" t="s">
        <v>1531</v>
      </c>
      <c r="D745" s="5">
        <v>3900</v>
      </c>
      <c r="E745" s="5">
        <v>504</v>
      </c>
      <c r="F745" s="5" t="s">
        <v>22</v>
      </c>
      <c r="G745" s="5">
        <v>17</v>
      </c>
      <c r="H745" s="5" t="s">
        <v>29</v>
      </c>
      <c r="I745" s="5" t="s">
        <v>30</v>
      </c>
      <c r="J745" s="5">
        <v>1445403600</v>
      </c>
      <c r="K745" s="5">
        <v>1445922000</v>
      </c>
      <c r="L745" s="5" t="b">
        <v>0</v>
      </c>
      <c r="M745" s="5" t="b">
        <v>1</v>
      </c>
      <c r="N745" s="5" t="s">
        <v>41</v>
      </c>
      <c r="O745" s="8">
        <f t="shared" si="515"/>
        <v>0.12923076923076923</v>
      </c>
      <c r="P745" s="9">
        <f t="shared" si="505"/>
        <v>29.647058823529413</v>
      </c>
      <c r="Q745" s="5" t="str" cm="1">
        <f t="array" ref="Q745:R745">_xlfn.TEXTSPLIT(N745,"/")</f>
        <v>theater</v>
      </c>
      <c r="R745" t="str">
        <v>plays</v>
      </c>
      <c r="S745" s="10">
        <f t="shared" ref="S745:T745" si="749">(((J745/60)/60)/24)+DATE(1970,1,1)</f>
        <v>42298.208333333328</v>
      </c>
      <c r="T745" s="10">
        <f t="shared" si="749"/>
        <v>42304.208333333328</v>
      </c>
    </row>
    <row r="746" spans="1:20" ht="15.75" customHeight="1" x14ac:dyDescent="0.25">
      <c r="A746" s="5">
        <v>744</v>
      </c>
      <c r="B746" s="6" t="s">
        <v>1532</v>
      </c>
      <c r="C746" s="7" t="s">
        <v>1533</v>
      </c>
      <c r="D746" s="5">
        <v>2000</v>
      </c>
      <c r="E746" s="5">
        <v>14240</v>
      </c>
      <c r="F746" s="5" t="s">
        <v>28</v>
      </c>
      <c r="G746" s="5">
        <v>140</v>
      </c>
      <c r="H746" s="5" t="s">
        <v>29</v>
      </c>
      <c r="I746" s="5" t="s">
        <v>30</v>
      </c>
      <c r="J746" s="5">
        <v>1533877200</v>
      </c>
      <c r="K746" s="5">
        <v>1534050000</v>
      </c>
      <c r="L746" s="5" t="b">
        <v>0</v>
      </c>
      <c r="M746" s="5" t="b">
        <v>1</v>
      </c>
      <c r="N746" s="5" t="s">
        <v>41</v>
      </c>
      <c r="O746" s="8">
        <f t="shared" si="515"/>
        <v>7.12</v>
      </c>
      <c r="P746" s="9">
        <f t="shared" si="505"/>
        <v>101.71428571428571</v>
      </c>
      <c r="Q746" s="5" t="str" cm="1">
        <f t="array" ref="Q746:R746">_xlfn.TEXTSPLIT(N746,"/")</f>
        <v>theater</v>
      </c>
      <c r="R746" t="str">
        <v>plays</v>
      </c>
      <c r="S746" s="10">
        <f t="shared" ref="S746:T746" si="750">(((J746/60)/60)/24)+DATE(1970,1,1)</f>
        <v>43322.208333333328</v>
      </c>
      <c r="T746" s="10">
        <f t="shared" si="750"/>
        <v>43324.208333333328</v>
      </c>
    </row>
    <row r="747" spans="1:20" ht="15.75" customHeight="1" x14ac:dyDescent="0.25">
      <c r="A747" s="5">
        <v>745</v>
      </c>
      <c r="B747" s="6" t="s">
        <v>1534</v>
      </c>
      <c r="C747" s="7" t="s">
        <v>1535</v>
      </c>
      <c r="D747" s="5">
        <v>6900</v>
      </c>
      <c r="E747" s="5">
        <v>2091</v>
      </c>
      <c r="F747" s="5" t="s">
        <v>22</v>
      </c>
      <c r="G747" s="5">
        <v>34</v>
      </c>
      <c r="H747" s="5" t="s">
        <v>29</v>
      </c>
      <c r="I747" s="5" t="s">
        <v>30</v>
      </c>
      <c r="J747" s="5">
        <v>1275195600</v>
      </c>
      <c r="K747" s="5">
        <v>1277528400</v>
      </c>
      <c r="L747" s="5" t="b">
        <v>0</v>
      </c>
      <c r="M747" s="5" t="b">
        <v>0</v>
      </c>
      <c r="N747" s="5" t="s">
        <v>73</v>
      </c>
      <c r="O747" s="8">
        <f t="shared" si="515"/>
        <v>0.30304347826086958</v>
      </c>
      <c r="P747" s="9">
        <f t="shared" si="505"/>
        <v>61.5</v>
      </c>
      <c r="Q747" s="5" t="str" cm="1">
        <f t="array" ref="Q747:R747">_xlfn.TEXTSPLIT(N747,"/")</f>
        <v>technology</v>
      </c>
      <c r="R747" t="str">
        <v>wearables</v>
      </c>
      <c r="S747" s="10">
        <f t="shared" ref="S747:T747" si="751">(((J747/60)/60)/24)+DATE(1970,1,1)</f>
        <v>40328.208333333336</v>
      </c>
      <c r="T747" s="10">
        <f t="shared" si="751"/>
        <v>40355.208333333336</v>
      </c>
    </row>
    <row r="748" spans="1:20" ht="15.75" customHeight="1" x14ac:dyDescent="0.25">
      <c r="A748" s="5">
        <v>746</v>
      </c>
      <c r="B748" s="6" t="s">
        <v>1536</v>
      </c>
      <c r="C748" s="7" t="s">
        <v>1537</v>
      </c>
      <c r="D748" s="5">
        <v>55800</v>
      </c>
      <c r="E748" s="5">
        <v>118580</v>
      </c>
      <c r="F748" s="5" t="s">
        <v>28</v>
      </c>
      <c r="G748" s="5">
        <v>3388</v>
      </c>
      <c r="H748" s="5" t="s">
        <v>29</v>
      </c>
      <c r="I748" s="5" t="s">
        <v>30</v>
      </c>
      <c r="J748" s="5">
        <v>1318136400</v>
      </c>
      <c r="K748" s="5">
        <v>1318568400</v>
      </c>
      <c r="L748" s="5" t="b">
        <v>0</v>
      </c>
      <c r="M748" s="5" t="b">
        <v>0</v>
      </c>
      <c r="N748" s="5" t="s">
        <v>36</v>
      </c>
      <c r="O748" s="8">
        <f t="shared" si="515"/>
        <v>2.1250896057347672</v>
      </c>
      <c r="P748" s="9">
        <f t="shared" si="505"/>
        <v>35</v>
      </c>
      <c r="Q748" s="5" t="str" cm="1">
        <f t="array" ref="Q748:R748">_xlfn.TEXTSPLIT(N748,"/")</f>
        <v>technology</v>
      </c>
      <c r="R748" t="str">
        <v>web</v>
      </c>
      <c r="S748" s="10">
        <f t="shared" ref="S748:T748" si="752">(((J748/60)/60)/24)+DATE(1970,1,1)</f>
        <v>40825.208333333336</v>
      </c>
      <c r="T748" s="10">
        <f t="shared" si="752"/>
        <v>40830.208333333336</v>
      </c>
    </row>
    <row r="749" spans="1:20" ht="15.75" customHeight="1" x14ac:dyDescent="0.25">
      <c r="A749" s="5">
        <v>747</v>
      </c>
      <c r="B749" s="6" t="s">
        <v>1538</v>
      </c>
      <c r="C749" s="7" t="s">
        <v>1539</v>
      </c>
      <c r="D749" s="5">
        <v>4900</v>
      </c>
      <c r="E749" s="5">
        <v>11214</v>
      </c>
      <c r="F749" s="5" t="s">
        <v>28</v>
      </c>
      <c r="G749" s="5">
        <v>280</v>
      </c>
      <c r="H749" s="5" t="s">
        <v>29</v>
      </c>
      <c r="I749" s="5" t="s">
        <v>30</v>
      </c>
      <c r="J749" s="5">
        <v>1283403600</v>
      </c>
      <c r="K749" s="5">
        <v>1284354000</v>
      </c>
      <c r="L749" s="5" t="b">
        <v>0</v>
      </c>
      <c r="M749" s="5" t="b">
        <v>0</v>
      </c>
      <c r="N749" s="5" t="s">
        <v>41</v>
      </c>
      <c r="O749" s="8">
        <f t="shared" si="515"/>
        <v>2.2885714285714287</v>
      </c>
      <c r="P749" s="9">
        <f t="shared" si="505"/>
        <v>40.049999999999997</v>
      </c>
      <c r="Q749" s="5" t="str" cm="1">
        <f t="array" ref="Q749:R749">_xlfn.TEXTSPLIT(N749,"/")</f>
        <v>theater</v>
      </c>
      <c r="R749" t="str">
        <v>plays</v>
      </c>
      <c r="S749" s="10">
        <f t="shared" ref="S749:T749" si="753">(((J749/60)/60)/24)+DATE(1970,1,1)</f>
        <v>40423.208333333336</v>
      </c>
      <c r="T749" s="10">
        <f t="shared" si="753"/>
        <v>40434.208333333336</v>
      </c>
    </row>
    <row r="750" spans="1:20" ht="15.75" customHeight="1" x14ac:dyDescent="0.25">
      <c r="A750" s="5">
        <v>748</v>
      </c>
      <c r="B750" s="6" t="s">
        <v>1540</v>
      </c>
      <c r="C750" s="7" t="s">
        <v>1541</v>
      </c>
      <c r="D750" s="5">
        <v>194900</v>
      </c>
      <c r="E750" s="5">
        <v>68137</v>
      </c>
      <c r="F750" s="5" t="s">
        <v>82</v>
      </c>
      <c r="G750" s="5">
        <v>614</v>
      </c>
      <c r="H750" s="5" t="s">
        <v>29</v>
      </c>
      <c r="I750" s="5" t="s">
        <v>30</v>
      </c>
      <c r="J750" s="5">
        <v>1267423200</v>
      </c>
      <c r="K750" s="5">
        <v>1269579600</v>
      </c>
      <c r="L750" s="5" t="b">
        <v>0</v>
      </c>
      <c r="M750" s="5" t="b">
        <v>1</v>
      </c>
      <c r="N750" s="5" t="s">
        <v>79</v>
      </c>
      <c r="O750" s="8">
        <f t="shared" si="515"/>
        <v>0.34959979476654696</v>
      </c>
      <c r="P750" s="9">
        <f t="shared" si="505"/>
        <v>110.97231270358306</v>
      </c>
      <c r="Q750" s="5" t="str" cm="1">
        <f t="array" ref="Q750:R750">_xlfn.TEXTSPLIT(N750,"/")</f>
        <v>film &amp; video</v>
      </c>
      <c r="R750" t="str">
        <v>animation</v>
      </c>
      <c r="S750" s="10">
        <f t="shared" ref="S750:T750" si="754">(((J750/60)/60)/24)+DATE(1970,1,1)</f>
        <v>40238.25</v>
      </c>
      <c r="T750" s="10">
        <f t="shared" si="754"/>
        <v>40263.208333333336</v>
      </c>
    </row>
    <row r="751" spans="1:20" ht="15.75" customHeight="1" x14ac:dyDescent="0.25">
      <c r="A751" s="5">
        <v>749</v>
      </c>
      <c r="B751" s="6" t="s">
        <v>1542</v>
      </c>
      <c r="C751" s="7" t="s">
        <v>1543</v>
      </c>
      <c r="D751" s="5">
        <v>8600</v>
      </c>
      <c r="E751" s="5">
        <v>13527</v>
      </c>
      <c r="F751" s="5" t="s">
        <v>28</v>
      </c>
      <c r="G751" s="5">
        <v>366</v>
      </c>
      <c r="H751" s="5" t="s">
        <v>115</v>
      </c>
      <c r="I751" s="5" t="s">
        <v>116</v>
      </c>
      <c r="J751" s="5">
        <v>1412744400</v>
      </c>
      <c r="K751" s="5">
        <v>1413781200</v>
      </c>
      <c r="L751" s="5" t="b">
        <v>0</v>
      </c>
      <c r="M751" s="5" t="b">
        <v>1</v>
      </c>
      <c r="N751" s="5" t="s">
        <v>73</v>
      </c>
      <c r="O751" s="8">
        <f t="shared" si="515"/>
        <v>1.5729069767441861</v>
      </c>
      <c r="P751" s="9">
        <f t="shared" si="505"/>
        <v>36.959016393442624</v>
      </c>
      <c r="Q751" s="5" t="str" cm="1">
        <f t="array" ref="Q751:R751">_xlfn.TEXTSPLIT(N751,"/")</f>
        <v>technology</v>
      </c>
      <c r="R751" t="str">
        <v>wearables</v>
      </c>
      <c r="S751" s="10">
        <f t="shared" ref="S751:T751" si="755">(((J751/60)/60)/24)+DATE(1970,1,1)</f>
        <v>41920.208333333336</v>
      </c>
      <c r="T751" s="10">
        <f t="shared" si="755"/>
        <v>41932.208333333336</v>
      </c>
    </row>
    <row r="752" spans="1:20" ht="15.75" customHeight="1" x14ac:dyDescent="0.25">
      <c r="A752" s="5">
        <v>750</v>
      </c>
      <c r="B752" s="6" t="s">
        <v>1544</v>
      </c>
      <c r="C752" s="7" t="s">
        <v>1545</v>
      </c>
      <c r="D752" s="5">
        <v>100</v>
      </c>
      <c r="E752" s="5">
        <v>1</v>
      </c>
      <c r="F752" s="5" t="s">
        <v>22</v>
      </c>
      <c r="G752" s="5">
        <v>1</v>
      </c>
      <c r="H752" s="5" t="s">
        <v>48</v>
      </c>
      <c r="I752" s="5" t="s">
        <v>49</v>
      </c>
      <c r="J752" s="5">
        <v>1277960400</v>
      </c>
      <c r="K752" s="5">
        <v>1280120400</v>
      </c>
      <c r="L752" s="5" t="b">
        <v>0</v>
      </c>
      <c r="M752" s="5" t="b">
        <v>0</v>
      </c>
      <c r="N752" s="5" t="s">
        <v>58</v>
      </c>
      <c r="O752" s="8">
        <f t="shared" si="515"/>
        <v>0.01</v>
      </c>
      <c r="P752" s="9">
        <f t="shared" si="505"/>
        <v>1</v>
      </c>
      <c r="Q752" s="5" t="str" cm="1">
        <f t="array" ref="Q752:R752">_xlfn.TEXTSPLIT(N752,"/")</f>
        <v>music</v>
      </c>
      <c r="R752" t="str">
        <v>electric music</v>
      </c>
      <c r="S752" s="10">
        <f t="shared" ref="S752:T752" si="756">(((J752/60)/60)/24)+DATE(1970,1,1)</f>
        <v>40360.208333333336</v>
      </c>
      <c r="T752" s="10">
        <f t="shared" si="756"/>
        <v>40385.208333333336</v>
      </c>
    </row>
    <row r="753" spans="1:20" ht="15.75" customHeight="1" x14ac:dyDescent="0.25">
      <c r="A753" s="5">
        <v>751</v>
      </c>
      <c r="B753" s="6" t="s">
        <v>1546</v>
      </c>
      <c r="C753" s="7" t="s">
        <v>1547</v>
      </c>
      <c r="D753" s="5">
        <v>3600</v>
      </c>
      <c r="E753" s="5">
        <v>8363</v>
      </c>
      <c r="F753" s="5" t="s">
        <v>28</v>
      </c>
      <c r="G753" s="5">
        <v>270</v>
      </c>
      <c r="H753" s="5" t="s">
        <v>29</v>
      </c>
      <c r="I753" s="5" t="s">
        <v>30</v>
      </c>
      <c r="J753" s="5">
        <v>1458190800</v>
      </c>
      <c r="K753" s="5">
        <v>1459486800</v>
      </c>
      <c r="L753" s="5" t="b">
        <v>1</v>
      </c>
      <c r="M753" s="5" t="b">
        <v>1</v>
      </c>
      <c r="N753" s="5" t="s">
        <v>76</v>
      </c>
      <c r="O753" s="8">
        <f t="shared" si="515"/>
        <v>2.3230555555555554</v>
      </c>
      <c r="P753" s="9">
        <f t="shared" si="505"/>
        <v>30.974074074074075</v>
      </c>
      <c r="Q753" s="5" t="str" cm="1">
        <f t="array" ref="Q753:R753">_xlfn.TEXTSPLIT(N753,"/")</f>
        <v>publishing</v>
      </c>
      <c r="R753" t="str">
        <v>nonfiction</v>
      </c>
      <c r="S753" s="10">
        <f t="shared" ref="S753:T753" si="757">(((J753/60)/60)/24)+DATE(1970,1,1)</f>
        <v>42446.208333333328</v>
      </c>
      <c r="T753" s="10">
        <f t="shared" si="757"/>
        <v>42461.208333333328</v>
      </c>
    </row>
    <row r="754" spans="1:20" ht="15.75" customHeight="1" x14ac:dyDescent="0.25">
      <c r="A754" s="5">
        <v>752</v>
      </c>
      <c r="B754" s="6" t="s">
        <v>1548</v>
      </c>
      <c r="C754" s="7" t="s">
        <v>1549</v>
      </c>
      <c r="D754" s="5">
        <v>5800</v>
      </c>
      <c r="E754" s="5">
        <v>5362</v>
      </c>
      <c r="F754" s="5" t="s">
        <v>82</v>
      </c>
      <c r="G754" s="5">
        <v>114</v>
      </c>
      <c r="H754" s="5" t="s">
        <v>29</v>
      </c>
      <c r="I754" s="5" t="s">
        <v>30</v>
      </c>
      <c r="J754" s="5">
        <v>1280984400</v>
      </c>
      <c r="K754" s="5">
        <v>1282539600</v>
      </c>
      <c r="L754" s="5" t="b">
        <v>0</v>
      </c>
      <c r="M754" s="5" t="b">
        <v>1</v>
      </c>
      <c r="N754" s="5" t="s">
        <v>41</v>
      </c>
      <c r="O754" s="8">
        <f t="shared" si="515"/>
        <v>0.92448275862068963</v>
      </c>
      <c r="P754" s="9">
        <f t="shared" si="505"/>
        <v>47.035087719298247</v>
      </c>
      <c r="Q754" s="5" t="str" cm="1">
        <f t="array" ref="Q754:R754">_xlfn.TEXTSPLIT(N754,"/")</f>
        <v>theater</v>
      </c>
      <c r="R754" t="str">
        <v>plays</v>
      </c>
      <c r="S754" s="10">
        <f t="shared" ref="S754:T754" si="758">(((J754/60)/60)/24)+DATE(1970,1,1)</f>
        <v>40395.208333333336</v>
      </c>
      <c r="T754" s="10">
        <f t="shared" si="758"/>
        <v>40413.208333333336</v>
      </c>
    </row>
    <row r="755" spans="1:20" ht="15.75" customHeight="1" x14ac:dyDescent="0.25">
      <c r="A755" s="5">
        <v>753</v>
      </c>
      <c r="B755" s="6" t="s">
        <v>1550</v>
      </c>
      <c r="C755" s="7" t="s">
        <v>1551</v>
      </c>
      <c r="D755" s="5">
        <v>4700</v>
      </c>
      <c r="E755" s="5">
        <v>12065</v>
      </c>
      <c r="F755" s="5" t="s">
        <v>28</v>
      </c>
      <c r="G755" s="5">
        <v>137</v>
      </c>
      <c r="H755" s="5" t="s">
        <v>29</v>
      </c>
      <c r="I755" s="5" t="s">
        <v>30</v>
      </c>
      <c r="J755" s="5">
        <v>1274590800</v>
      </c>
      <c r="K755" s="5">
        <v>1275886800</v>
      </c>
      <c r="L755" s="5" t="b">
        <v>0</v>
      </c>
      <c r="M755" s="5" t="b">
        <v>0</v>
      </c>
      <c r="N755" s="5" t="s">
        <v>130</v>
      </c>
      <c r="O755" s="8">
        <f t="shared" si="515"/>
        <v>2.5670212765957445</v>
      </c>
      <c r="P755" s="9">
        <f t="shared" si="505"/>
        <v>88.065693430656935</v>
      </c>
      <c r="Q755" s="5" t="str" cm="1">
        <f t="array" ref="Q755:R755">_xlfn.TEXTSPLIT(N755,"/")</f>
        <v>photography</v>
      </c>
      <c r="R755" t="str">
        <v>photography books</v>
      </c>
      <c r="S755" s="10">
        <f t="shared" ref="S755:T755" si="759">(((J755/60)/60)/24)+DATE(1970,1,1)</f>
        <v>40321.208333333336</v>
      </c>
      <c r="T755" s="10">
        <f t="shared" si="759"/>
        <v>40336.208333333336</v>
      </c>
    </row>
    <row r="756" spans="1:20" ht="15.75" customHeight="1" x14ac:dyDescent="0.25">
      <c r="A756" s="5">
        <v>754</v>
      </c>
      <c r="B756" s="6" t="s">
        <v>1552</v>
      </c>
      <c r="C756" s="7" t="s">
        <v>1553</v>
      </c>
      <c r="D756" s="5">
        <v>70400</v>
      </c>
      <c r="E756" s="5">
        <v>118603</v>
      </c>
      <c r="F756" s="5" t="s">
        <v>28</v>
      </c>
      <c r="G756" s="5">
        <v>3205</v>
      </c>
      <c r="H756" s="5" t="s">
        <v>29</v>
      </c>
      <c r="I756" s="5" t="s">
        <v>30</v>
      </c>
      <c r="J756" s="5">
        <v>1351400400</v>
      </c>
      <c r="K756" s="5">
        <v>1355983200</v>
      </c>
      <c r="L756" s="5" t="b">
        <v>0</v>
      </c>
      <c r="M756" s="5" t="b">
        <v>0</v>
      </c>
      <c r="N756" s="5" t="s">
        <v>41</v>
      </c>
      <c r="O756" s="8">
        <f t="shared" si="515"/>
        <v>1.6847017045454546</v>
      </c>
      <c r="P756" s="9">
        <f t="shared" si="505"/>
        <v>37.005616224648989</v>
      </c>
      <c r="Q756" s="5" t="str" cm="1">
        <f t="array" ref="Q756:R756">_xlfn.TEXTSPLIT(N756,"/")</f>
        <v>theater</v>
      </c>
      <c r="R756" t="str">
        <v>plays</v>
      </c>
      <c r="S756" s="10">
        <f t="shared" ref="S756:T756" si="760">(((J756/60)/60)/24)+DATE(1970,1,1)</f>
        <v>41210.208333333336</v>
      </c>
      <c r="T756" s="10">
        <f t="shared" si="760"/>
        <v>41263.25</v>
      </c>
    </row>
    <row r="757" spans="1:20" ht="15.75" customHeight="1" x14ac:dyDescent="0.25">
      <c r="A757" s="5">
        <v>755</v>
      </c>
      <c r="B757" s="6" t="s">
        <v>1554</v>
      </c>
      <c r="C757" s="7" t="s">
        <v>1555</v>
      </c>
      <c r="D757" s="5">
        <v>4500</v>
      </c>
      <c r="E757" s="5">
        <v>7496</v>
      </c>
      <c r="F757" s="5" t="s">
        <v>28</v>
      </c>
      <c r="G757" s="5">
        <v>288</v>
      </c>
      <c r="H757" s="5" t="s">
        <v>44</v>
      </c>
      <c r="I757" s="5" t="s">
        <v>45</v>
      </c>
      <c r="J757" s="5">
        <v>1514354400</v>
      </c>
      <c r="K757" s="5">
        <v>1515391200</v>
      </c>
      <c r="L757" s="5" t="b">
        <v>0</v>
      </c>
      <c r="M757" s="5" t="b">
        <v>1</v>
      </c>
      <c r="N757" s="5" t="s">
        <v>41</v>
      </c>
      <c r="O757" s="8">
        <f t="shared" si="515"/>
        <v>1.6657777777777778</v>
      </c>
      <c r="P757" s="9">
        <f t="shared" si="505"/>
        <v>26.027777777777779</v>
      </c>
      <c r="Q757" s="5" t="str" cm="1">
        <f t="array" ref="Q757:R757">_xlfn.TEXTSPLIT(N757,"/")</f>
        <v>theater</v>
      </c>
      <c r="R757" t="str">
        <v>plays</v>
      </c>
      <c r="S757" s="10">
        <f t="shared" ref="S757:T757" si="761">(((J757/60)/60)/24)+DATE(1970,1,1)</f>
        <v>43096.25</v>
      </c>
      <c r="T757" s="10">
        <f t="shared" si="761"/>
        <v>43108.25</v>
      </c>
    </row>
    <row r="758" spans="1:20" ht="15.75" customHeight="1" x14ac:dyDescent="0.25">
      <c r="A758" s="5">
        <v>756</v>
      </c>
      <c r="B758" s="6" t="s">
        <v>1556</v>
      </c>
      <c r="C758" s="7" t="s">
        <v>1557</v>
      </c>
      <c r="D758" s="5">
        <v>1300</v>
      </c>
      <c r="E758" s="5">
        <v>10037</v>
      </c>
      <c r="F758" s="5" t="s">
        <v>28</v>
      </c>
      <c r="G758" s="5">
        <v>148</v>
      </c>
      <c r="H758" s="5" t="s">
        <v>29</v>
      </c>
      <c r="I758" s="5" t="s">
        <v>30</v>
      </c>
      <c r="J758" s="5">
        <v>1421733600</v>
      </c>
      <c r="K758" s="5">
        <v>1422252000</v>
      </c>
      <c r="L758" s="5" t="b">
        <v>0</v>
      </c>
      <c r="M758" s="5" t="b">
        <v>0</v>
      </c>
      <c r="N758" s="5" t="s">
        <v>41</v>
      </c>
      <c r="O758" s="8">
        <f t="shared" si="515"/>
        <v>7.7207692307692311</v>
      </c>
      <c r="P758" s="9">
        <f t="shared" ref="P758:P1001" si="762">E758/G758</f>
        <v>67.817567567567565</v>
      </c>
      <c r="Q758" s="5" t="str" cm="1">
        <f t="array" ref="Q758:R758">_xlfn.TEXTSPLIT(N758,"/")</f>
        <v>theater</v>
      </c>
      <c r="R758" t="str">
        <v>plays</v>
      </c>
      <c r="S758" s="10">
        <f t="shared" ref="S758:T758" si="763">(((J758/60)/60)/24)+DATE(1970,1,1)</f>
        <v>42024.25</v>
      </c>
      <c r="T758" s="10">
        <f t="shared" si="763"/>
        <v>42030.25</v>
      </c>
    </row>
    <row r="759" spans="1:20" ht="15.75" customHeight="1" x14ac:dyDescent="0.25">
      <c r="A759" s="5">
        <v>757</v>
      </c>
      <c r="B759" s="6" t="s">
        <v>1558</v>
      </c>
      <c r="C759" s="7" t="s">
        <v>1559</v>
      </c>
      <c r="D759" s="5">
        <v>1400</v>
      </c>
      <c r="E759" s="5">
        <v>5696</v>
      </c>
      <c r="F759" s="5" t="s">
        <v>28</v>
      </c>
      <c r="G759" s="5">
        <v>114</v>
      </c>
      <c r="H759" s="5" t="s">
        <v>29</v>
      </c>
      <c r="I759" s="5" t="s">
        <v>30</v>
      </c>
      <c r="J759" s="5">
        <v>1305176400</v>
      </c>
      <c r="K759" s="5">
        <v>1305522000</v>
      </c>
      <c r="L759" s="5" t="b">
        <v>0</v>
      </c>
      <c r="M759" s="5" t="b">
        <v>0</v>
      </c>
      <c r="N759" s="5" t="s">
        <v>61</v>
      </c>
      <c r="O759" s="8">
        <f t="shared" si="515"/>
        <v>4.0685714285714285</v>
      </c>
      <c r="P759" s="9">
        <f t="shared" si="762"/>
        <v>49.964912280701753</v>
      </c>
      <c r="Q759" s="5" t="str" cm="1">
        <f t="array" ref="Q759:R759">_xlfn.TEXTSPLIT(N759,"/")</f>
        <v>film &amp; video</v>
      </c>
      <c r="R759" t="str">
        <v>drama</v>
      </c>
      <c r="S759" s="10">
        <f t="shared" ref="S759:T759" si="764">(((J759/60)/60)/24)+DATE(1970,1,1)</f>
        <v>40675.208333333336</v>
      </c>
      <c r="T759" s="10">
        <f t="shared" si="764"/>
        <v>40679.208333333336</v>
      </c>
    </row>
    <row r="760" spans="1:20" ht="15.75" customHeight="1" x14ac:dyDescent="0.25">
      <c r="A760" s="5">
        <v>758</v>
      </c>
      <c r="B760" s="6" t="s">
        <v>1560</v>
      </c>
      <c r="C760" s="7" t="s">
        <v>1561</v>
      </c>
      <c r="D760" s="5">
        <v>29600</v>
      </c>
      <c r="E760" s="5">
        <v>167005</v>
      </c>
      <c r="F760" s="5" t="s">
        <v>28</v>
      </c>
      <c r="G760" s="5">
        <v>1518</v>
      </c>
      <c r="H760" s="5" t="s">
        <v>23</v>
      </c>
      <c r="I760" s="5" t="s">
        <v>24</v>
      </c>
      <c r="J760" s="5">
        <v>1414126800</v>
      </c>
      <c r="K760" s="5">
        <v>1414904400</v>
      </c>
      <c r="L760" s="5" t="b">
        <v>0</v>
      </c>
      <c r="M760" s="5" t="b">
        <v>0</v>
      </c>
      <c r="N760" s="5" t="s">
        <v>31</v>
      </c>
      <c r="O760" s="8">
        <f t="shared" si="515"/>
        <v>5.6420608108108112</v>
      </c>
      <c r="P760" s="9">
        <f t="shared" si="762"/>
        <v>110.01646903820817</v>
      </c>
      <c r="Q760" s="5" t="str" cm="1">
        <f t="array" ref="Q760:R760">_xlfn.TEXTSPLIT(N760,"/")</f>
        <v>music</v>
      </c>
      <c r="R760" t="str">
        <v>rock</v>
      </c>
      <c r="S760" s="10">
        <f t="shared" ref="S760:T760" si="765">(((J760/60)/60)/24)+DATE(1970,1,1)</f>
        <v>41936.208333333336</v>
      </c>
      <c r="T760" s="10">
        <f t="shared" si="765"/>
        <v>41945.208333333336</v>
      </c>
    </row>
    <row r="761" spans="1:20" ht="15.75" customHeight="1" x14ac:dyDescent="0.25">
      <c r="A761" s="5">
        <v>759</v>
      </c>
      <c r="B761" s="6" t="s">
        <v>1562</v>
      </c>
      <c r="C761" s="7" t="s">
        <v>1563</v>
      </c>
      <c r="D761" s="5">
        <v>167500</v>
      </c>
      <c r="E761" s="5">
        <v>114615</v>
      </c>
      <c r="F761" s="5" t="s">
        <v>22</v>
      </c>
      <c r="G761" s="5">
        <v>1274</v>
      </c>
      <c r="H761" s="5" t="s">
        <v>29</v>
      </c>
      <c r="I761" s="5" t="s">
        <v>30</v>
      </c>
      <c r="J761" s="5">
        <v>1517810400</v>
      </c>
      <c r="K761" s="5">
        <v>1520402400</v>
      </c>
      <c r="L761" s="5" t="b">
        <v>0</v>
      </c>
      <c r="M761" s="5" t="b">
        <v>0</v>
      </c>
      <c r="N761" s="5" t="s">
        <v>58</v>
      </c>
      <c r="O761" s="8">
        <f t="shared" si="515"/>
        <v>0.6842686567164179</v>
      </c>
      <c r="P761" s="9">
        <f t="shared" si="762"/>
        <v>89.964678178963894</v>
      </c>
      <c r="Q761" s="5" t="str" cm="1">
        <f t="array" ref="Q761:R761">_xlfn.TEXTSPLIT(N761,"/")</f>
        <v>music</v>
      </c>
      <c r="R761" t="str">
        <v>electric music</v>
      </c>
      <c r="S761" s="10">
        <f t="shared" ref="S761:T761" si="766">(((J761/60)/60)/24)+DATE(1970,1,1)</f>
        <v>43136.25</v>
      </c>
      <c r="T761" s="10">
        <f t="shared" si="766"/>
        <v>43166.25</v>
      </c>
    </row>
    <row r="762" spans="1:20" ht="15.75" customHeight="1" x14ac:dyDescent="0.25">
      <c r="A762" s="5">
        <v>760</v>
      </c>
      <c r="B762" s="6" t="s">
        <v>1564</v>
      </c>
      <c r="C762" s="7" t="s">
        <v>1565</v>
      </c>
      <c r="D762" s="5">
        <v>48300</v>
      </c>
      <c r="E762" s="5">
        <v>16592</v>
      </c>
      <c r="F762" s="5" t="s">
        <v>22</v>
      </c>
      <c r="G762" s="5">
        <v>210</v>
      </c>
      <c r="H762" s="5" t="s">
        <v>115</v>
      </c>
      <c r="I762" s="5" t="s">
        <v>116</v>
      </c>
      <c r="J762" s="5">
        <v>1564635600</v>
      </c>
      <c r="K762" s="5">
        <v>1567141200</v>
      </c>
      <c r="L762" s="5" t="b">
        <v>0</v>
      </c>
      <c r="M762" s="5" t="b">
        <v>1</v>
      </c>
      <c r="N762" s="5" t="s">
        <v>97</v>
      </c>
      <c r="O762" s="8">
        <f t="shared" si="515"/>
        <v>0.34351966873706002</v>
      </c>
      <c r="P762" s="9">
        <f t="shared" si="762"/>
        <v>79.009523809523813</v>
      </c>
      <c r="Q762" s="5" t="str" cm="1">
        <f t="array" ref="Q762:R762">_xlfn.TEXTSPLIT(N762,"/")</f>
        <v>games</v>
      </c>
      <c r="R762" t="str">
        <v>video games</v>
      </c>
      <c r="S762" s="10">
        <f t="shared" ref="S762:T762" si="767">(((J762/60)/60)/24)+DATE(1970,1,1)</f>
        <v>43678.208333333328</v>
      </c>
      <c r="T762" s="10">
        <f t="shared" si="767"/>
        <v>43707.208333333328</v>
      </c>
    </row>
    <row r="763" spans="1:20" ht="15.75" customHeight="1" x14ac:dyDescent="0.25">
      <c r="A763" s="5">
        <v>761</v>
      </c>
      <c r="B763" s="6" t="s">
        <v>1566</v>
      </c>
      <c r="C763" s="7" t="s">
        <v>1567</v>
      </c>
      <c r="D763" s="5">
        <v>2200</v>
      </c>
      <c r="E763" s="5">
        <v>14420</v>
      </c>
      <c r="F763" s="5" t="s">
        <v>28</v>
      </c>
      <c r="G763" s="5">
        <v>166</v>
      </c>
      <c r="H763" s="5" t="s">
        <v>29</v>
      </c>
      <c r="I763" s="5" t="s">
        <v>30</v>
      </c>
      <c r="J763" s="5">
        <v>1500699600</v>
      </c>
      <c r="K763" s="5">
        <v>1501131600</v>
      </c>
      <c r="L763" s="5" t="b">
        <v>0</v>
      </c>
      <c r="M763" s="5" t="b">
        <v>0</v>
      </c>
      <c r="N763" s="5" t="s">
        <v>31</v>
      </c>
      <c r="O763" s="8">
        <f t="shared" si="515"/>
        <v>6.5545454545454547</v>
      </c>
      <c r="P763" s="9">
        <f t="shared" si="762"/>
        <v>86.867469879518069</v>
      </c>
      <c r="Q763" s="5" t="str" cm="1">
        <f t="array" ref="Q763:R763">_xlfn.TEXTSPLIT(N763,"/")</f>
        <v>music</v>
      </c>
      <c r="R763" t="str">
        <v>rock</v>
      </c>
      <c r="S763" s="10">
        <f t="shared" ref="S763:T763" si="768">(((J763/60)/60)/24)+DATE(1970,1,1)</f>
        <v>42938.208333333328</v>
      </c>
      <c r="T763" s="10">
        <f t="shared" si="768"/>
        <v>42943.208333333328</v>
      </c>
    </row>
    <row r="764" spans="1:20" ht="15.75" customHeight="1" x14ac:dyDescent="0.25">
      <c r="A764" s="5">
        <v>762</v>
      </c>
      <c r="B764" s="6" t="s">
        <v>676</v>
      </c>
      <c r="C764" s="7" t="s">
        <v>1568</v>
      </c>
      <c r="D764" s="5">
        <v>3500</v>
      </c>
      <c r="E764" s="5">
        <v>6204</v>
      </c>
      <c r="F764" s="5" t="s">
        <v>28</v>
      </c>
      <c r="G764" s="5">
        <v>100</v>
      </c>
      <c r="H764" s="5" t="s">
        <v>34</v>
      </c>
      <c r="I764" s="5" t="s">
        <v>35</v>
      </c>
      <c r="J764" s="5">
        <v>1354082400</v>
      </c>
      <c r="K764" s="5">
        <v>1355032800</v>
      </c>
      <c r="L764" s="5" t="b">
        <v>0</v>
      </c>
      <c r="M764" s="5" t="b">
        <v>0</v>
      </c>
      <c r="N764" s="5" t="s">
        <v>167</v>
      </c>
      <c r="O764" s="8">
        <f t="shared" si="515"/>
        <v>1.7725714285714285</v>
      </c>
      <c r="P764" s="9">
        <f t="shared" si="762"/>
        <v>62.04</v>
      </c>
      <c r="Q764" s="5" t="str" cm="1">
        <f t="array" ref="Q764:R764">_xlfn.TEXTSPLIT(N764,"/")</f>
        <v>music</v>
      </c>
      <c r="R764" t="str">
        <v>jazz</v>
      </c>
      <c r="S764" s="10">
        <f t="shared" ref="S764:T764" si="769">(((J764/60)/60)/24)+DATE(1970,1,1)</f>
        <v>41241.25</v>
      </c>
      <c r="T764" s="10">
        <f t="shared" si="769"/>
        <v>41252.25</v>
      </c>
    </row>
    <row r="765" spans="1:20" ht="15.75" customHeight="1" x14ac:dyDescent="0.25">
      <c r="A765" s="5">
        <v>763</v>
      </c>
      <c r="B765" s="6" t="s">
        <v>1569</v>
      </c>
      <c r="C765" s="7" t="s">
        <v>1570</v>
      </c>
      <c r="D765" s="5">
        <v>5600</v>
      </c>
      <c r="E765" s="5">
        <v>6338</v>
      </c>
      <c r="F765" s="5" t="s">
        <v>28</v>
      </c>
      <c r="G765" s="5">
        <v>235</v>
      </c>
      <c r="H765" s="5" t="s">
        <v>29</v>
      </c>
      <c r="I765" s="5" t="s">
        <v>30</v>
      </c>
      <c r="J765" s="5">
        <v>1336453200</v>
      </c>
      <c r="K765" s="5">
        <v>1339477200</v>
      </c>
      <c r="L765" s="5" t="b">
        <v>0</v>
      </c>
      <c r="M765" s="5" t="b">
        <v>1</v>
      </c>
      <c r="N765" s="5" t="s">
        <v>41</v>
      </c>
      <c r="O765" s="8">
        <f t="shared" si="515"/>
        <v>1.1317857142857144</v>
      </c>
      <c r="P765" s="9">
        <f t="shared" si="762"/>
        <v>26.970212765957445</v>
      </c>
      <c r="Q765" s="5" t="str" cm="1">
        <f t="array" ref="Q765:R765">_xlfn.TEXTSPLIT(N765,"/")</f>
        <v>theater</v>
      </c>
      <c r="R765" t="str">
        <v>plays</v>
      </c>
      <c r="S765" s="10">
        <f t="shared" ref="S765:T765" si="770">(((J765/60)/60)/24)+DATE(1970,1,1)</f>
        <v>41037.208333333336</v>
      </c>
      <c r="T765" s="10">
        <f t="shared" si="770"/>
        <v>41072.208333333336</v>
      </c>
    </row>
    <row r="766" spans="1:20" ht="15.75" customHeight="1" x14ac:dyDescent="0.25">
      <c r="A766" s="5">
        <v>764</v>
      </c>
      <c r="B766" s="6" t="s">
        <v>1571</v>
      </c>
      <c r="C766" s="7" t="s">
        <v>1572</v>
      </c>
      <c r="D766" s="5">
        <v>1100</v>
      </c>
      <c r="E766" s="5">
        <v>8010</v>
      </c>
      <c r="F766" s="5" t="s">
        <v>28</v>
      </c>
      <c r="G766" s="5">
        <v>148</v>
      </c>
      <c r="H766" s="5" t="s">
        <v>29</v>
      </c>
      <c r="I766" s="5" t="s">
        <v>30</v>
      </c>
      <c r="J766" s="5">
        <v>1305262800</v>
      </c>
      <c r="K766" s="5">
        <v>1305954000</v>
      </c>
      <c r="L766" s="5" t="b">
        <v>0</v>
      </c>
      <c r="M766" s="5" t="b">
        <v>0</v>
      </c>
      <c r="N766" s="5" t="s">
        <v>31</v>
      </c>
      <c r="O766" s="8">
        <f t="shared" si="515"/>
        <v>7.2818181818181822</v>
      </c>
      <c r="P766" s="9">
        <f t="shared" si="762"/>
        <v>54.121621621621621</v>
      </c>
      <c r="Q766" s="5" t="str" cm="1">
        <f t="array" ref="Q766:R766">_xlfn.TEXTSPLIT(N766,"/")</f>
        <v>music</v>
      </c>
      <c r="R766" t="str">
        <v>rock</v>
      </c>
      <c r="S766" s="10">
        <f t="shared" ref="S766:T766" si="771">(((J766/60)/60)/24)+DATE(1970,1,1)</f>
        <v>40676.208333333336</v>
      </c>
      <c r="T766" s="10">
        <f t="shared" si="771"/>
        <v>40684.208333333336</v>
      </c>
    </row>
    <row r="767" spans="1:20" ht="15.75" customHeight="1" x14ac:dyDescent="0.25">
      <c r="A767" s="5">
        <v>765</v>
      </c>
      <c r="B767" s="6" t="s">
        <v>1573</v>
      </c>
      <c r="C767" s="7" t="s">
        <v>1574</v>
      </c>
      <c r="D767" s="5">
        <v>3900</v>
      </c>
      <c r="E767" s="5">
        <v>8125</v>
      </c>
      <c r="F767" s="5" t="s">
        <v>28</v>
      </c>
      <c r="G767" s="5">
        <v>198</v>
      </c>
      <c r="H767" s="5" t="s">
        <v>29</v>
      </c>
      <c r="I767" s="5" t="s">
        <v>30</v>
      </c>
      <c r="J767" s="5">
        <v>1492232400</v>
      </c>
      <c r="K767" s="5">
        <v>1494392400</v>
      </c>
      <c r="L767" s="5" t="b">
        <v>1</v>
      </c>
      <c r="M767" s="5" t="b">
        <v>1</v>
      </c>
      <c r="N767" s="5" t="s">
        <v>68</v>
      </c>
      <c r="O767" s="8">
        <f t="shared" ref="O767:O1001" si="772">E767/D767</f>
        <v>2.0833333333333335</v>
      </c>
      <c r="P767" s="9">
        <f t="shared" si="762"/>
        <v>41.035353535353536</v>
      </c>
      <c r="Q767" s="5" t="str" cm="1">
        <f t="array" ref="Q767:R767">_xlfn.TEXTSPLIT(N767,"/")</f>
        <v>music</v>
      </c>
      <c r="R767" t="str">
        <v>indie rock</v>
      </c>
      <c r="S767" s="10">
        <f t="shared" ref="S767:T767" si="773">(((J767/60)/60)/24)+DATE(1970,1,1)</f>
        <v>42840.208333333328</v>
      </c>
      <c r="T767" s="10">
        <f t="shared" si="773"/>
        <v>42865.208333333328</v>
      </c>
    </row>
    <row r="768" spans="1:20" ht="15.75" customHeight="1" x14ac:dyDescent="0.25">
      <c r="A768" s="5">
        <v>766</v>
      </c>
      <c r="B768" s="6" t="s">
        <v>1575</v>
      </c>
      <c r="C768" s="7" t="s">
        <v>1576</v>
      </c>
      <c r="D768" s="5">
        <v>43800</v>
      </c>
      <c r="E768" s="5">
        <v>13653</v>
      </c>
      <c r="F768" s="5" t="s">
        <v>22</v>
      </c>
      <c r="G768" s="5">
        <v>248</v>
      </c>
      <c r="H768" s="5" t="s">
        <v>34</v>
      </c>
      <c r="I768" s="5" t="s">
        <v>35</v>
      </c>
      <c r="J768" s="5">
        <v>1537333200</v>
      </c>
      <c r="K768" s="5">
        <v>1537419600</v>
      </c>
      <c r="L768" s="5" t="b">
        <v>0</v>
      </c>
      <c r="M768" s="5" t="b">
        <v>0</v>
      </c>
      <c r="N768" s="5" t="s">
        <v>482</v>
      </c>
      <c r="O768" s="8">
        <f t="shared" si="772"/>
        <v>0.31171232876712329</v>
      </c>
      <c r="P768" s="9">
        <f t="shared" si="762"/>
        <v>55.052419354838712</v>
      </c>
      <c r="Q768" s="5" t="str" cm="1">
        <f t="array" ref="Q768:R768">_xlfn.TEXTSPLIT(N768,"/")</f>
        <v>film &amp; video</v>
      </c>
      <c r="R768" t="str">
        <v>science fiction</v>
      </c>
      <c r="S768" s="10">
        <f t="shared" ref="S768:T768" si="774">(((J768/60)/60)/24)+DATE(1970,1,1)</f>
        <v>43362.208333333328</v>
      </c>
      <c r="T768" s="10">
        <f t="shared" si="774"/>
        <v>43363.208333333328</v>
      </c>
    </row>
    <row r="769" spans="1:20" ht="15.75" customHeight="1" x14ac:dyDescent="0.25">
      <c r="A769" s="5">
        <v>767</v>
      </c>
      <c r="B769" s="6" t="s">
        <v>1577</v>
      </c>
      <c r="C769" s="7" t="s">
        <v>1578</v>
      </c>
      <c r="D769" s="5">
        <v>97200</v>
      </c>
      <c r="E769" s="5">
        <v>55372</v>
      </c>
      <c r="F769" s="5" t="s">
        <v>22</v>
      </c>
      <c r="G769" s="5">
        <v>513</v>
      </c>
      <c r="H769" s="5" t="s">
        <v>29</v>
      </c>
      <c r="I769" s="5" t="s">
        <v>30</v>
      </c>
      <c r="J769" s="5">
        <v>1444107600</v>
      </c>
      <c r="K769" s="5">
        <v>1447999200</v>
      </c>
      <c r="L769" s="5" t="b">
        <v>0</v>
      </c>
      <c r="M769" s="5" t="b">
        <v>0</v>
      </c>
      <c r="N769" s="5" t="s">
        <v>214</v>
      </c>
      <c r="O769" s="8">
        <f t="shared" si="772"/>
        <v>0.56967078189300413</v>
      </c>
      <c r="P769" s="9">
        <f t="shared" si="762"/>
        <v>107.93762183235867</v>
      </c>
      <c r="Q769" s="5" t="str" cm="1">
        <f t="array" ref="Q769:R769">_xlfn.TEXTSPLIT(N769,"/")</f>
        <v>publishing</v>
      </c>
      <c r="R769" t="str">
        <v>translations</v>
      </c>
      <c r="S769" s="10">
        <f t="shared" ref="S769:T769" si="775">(((J769/60)/60)/24)+DATE(1970,1,1)</f>
        <v>42283.208333333328</v>
      </c>
      <c r="T769" s="10">
        <f t="shared" si="775"/>
        <v>42328.25</v>
      </c>
    </row>
    <row r="770" spans="1:20" ht="15.75" customHeight="1" x14ac:dyDescent="0.25">
      <c r="A770" s="5">
        <v>768</v>
      </c>
      <c r="B770" s="6" t="s">
        <v>1579</v>
      </c>
      <c r="C770" s="7" t="s">
        <v>1580</v>
      </c>
      <c r="D770" s="5">
        <v>4800</v>
      </c>
      <c r="E770" s="5">
        <v>11088</v>
      </c>
      <c r="F770" s="5" t="s">
        <v>28</v>
      </c>
      <c r="G770" s="5">
        <v>150</v>
      </c>
      <c r="H770" s="5" t="s">
        <v>29</v>
      </c>
      <c r="I770" s="5" t="s">
        <v>30</v>
      </c>
      <c r="J770" s="5">
        <v>1386741600</v>
      </c>
      <c r="K770" s="5">
        <v>1388037600</v>
      </c>
      <c r="L770" s="5" t="b">
        <v>0</v>
      </c>
      <c r="M770" s="5" t="b">
        <v>0</v>
      </c>
      <c r="N770" s="5" t="s">
        <v>41</v>
      </c>
      <c r="O770" s="8">
        <f t="shared" si="772"/>
        <v>2.31</v>
      </c>
      <c r="P770" s="9">
        <f t="shared" si="762"/>
        <v>73.92</v>
      </c>
      <c r="Q770" s="5" t="str" cm="1">
        <f t="array" ref="Q770:R770">_xlfn.TEXTSPLIT(N770,"/")</f>
        <v>theater</v>
      </c>
      <c r="R770" t="str">
        <v>plays</v>
      </c>
      <c r="S770" s="10">
        <f t="shared" ref="S770:T770" si="776">(((J770/60)/60)/24)+DATE(1970,1,1)</f>
        <v>41619.25</v>
      </c>
      <c r="T770" s="10">
        <f t="shared" si="776"/>
        <v>41634.25</v>
      </c>
    </row>
    <row r="771" spans="1:20" ht="15.75" customHeight="1" x14ac:dyDescent="0.25">
      <c r="A771" s="5">
        <v>769</v>
      </c>
      <c r="B771" s="6" t="s">
        <v>1581</v>
      </c>
      <c r="C771" s="7" t="s">
        <v>1582</v>
      </c>
      <c r="D771" s="5">
        <v>125600</v>
      </c>
      <c r="E771" s="5">
        <v>109106</v>
      </c>
      <c r="F771" s="5" t="s">
        <v>22</v>
      </c>
      <c r="G771" s="5">
        <v>3410</v>
      </c>
      <c r="H771" s="5" t="s">
        <v>29</v>
      </c>
      <c r="I771" s="5" t="s">
        <v>30</v>
      </c>
      <c r="J771" s="5">
        <v>1376542800</v>
      </c>
      <c r="K771" s="5">
        <v>1378789200</v>
      </c>
      <c r="L771" s="5" t="b">
        <v>0</v>
      </c>
      <c r="M771" s="5" t="b">
        <v>0</v>
      </c>
      <c r="N771" s="5" t="s">
        <v>97</v>
      </c>
      <c r="O771" s="8">
        <f t="shared" si="772"/>
        <v>0.86867834394904464</v>
      </c>
      <c r="P771" s="9">
        <f t="shared" si="762"/>
        <v>31.995894428152493</v>
      </c>
      <c r="Q771" s="5" t="str" cm="1">
        <f t="array" ref="Q771:R771">_xlfn.TEXTSPLIT(N771,"/")</f>
        <v>games</v>
      </c>
      <c r="R771" t="str">
        <v>video games</v>
      </c>
      <c r="S771" s="10">
        <f t="shared" ref="S771:T771" si="777">(((J771/60)/60)/24)+DATE(1970,1,1)</f>
        <v>41501.208333333336</v>
      </c>
      <c r="T771" s="10">
        <f t="shared" si="777"/>
        <v>41527.208333333336</v>
      </c>
    </row>
    <row r="772" spans="1:20" ht="15.75" customHeight="1" x14ac:dyDescent="0.25">
      <c r="A772" s="5">
        <v>770</v>
      </c>
      <c r="B772" s="6" t="s">
        <v>1583</v>
      </c>
      <c r="C772" s="7" t="s">
        <v>1584</v>
      </c>
      <c r="D772" s="5">
        <v>4300</v>
      </c>
      <c r="E772" s="5">
        <v>11642</v>
      </c>
      <c r="F772" s="5" t="s">
        <v>28</v>
      </c>
      <c r="G772" s="5">
        <v>216</v>
      </c>
      <c r="H772" s="5" t="s">
        <v>115</v>
      </c>
      <c r="I772" s="5" t="s">
        <v>116</v>
      </c>
      <c r="J772" s="5">
        <v>1397451600</v>
      </c>
      <c r="K772" s="5">
        <v>1398056400</v>
      </c>
      <c r="L772" s="5" t="b">
        <v>0</v>
      </c>
      <c r="M772" s="5" t="b">
        <v>1</v>
      </c>
      <c r="N772" s="5" t="s">
        <v>41</v>
      </c>
      <c r="O772" s="8">
        <f t="shared" si="772"/>
        <v>2.7074418604651163</v>
      </c>
      <c r="P772" s="9">
        <f t="shared" si="762"/>
        <v>53.898148148148145</v>
      </c>
      <c r="Q772" s="5" t="str" cm="1">
        <f t="array" ref="Q772:R772">_xlfn.TEXTSPLIT(N772,"/")</f>
        <v>theater</v>
      </c>
      <c r="R772" t="str">
        <v>plays</v>
      </c>
      <c r="S772" s="10">
        <f t="shared" ref="S772:T772" si="778">(((J772/60)/60)/24)+DATE(1970,1,1)</f>
        <v>41743.208333333336</v>
      </c>
      <c r="T772" s="10">
        <f t="shared" si="778"/>
        <v>41750.208333333336</v>
      </c>
    </row>
    <row r="773" spans="1:20" ht="15.75" customHeight="1" x14ac:dyDescent="0.25">
      <c r="A773" s="5">
        <v>771</v>
      </c>
      <c r="B773" s="6" t="s">
        <v>1585</v>
      </c>
      <c r="C773" s="7" t="s">
        <v>1586</v>
      </c>
      <c r="D773" s="5">
        <v>5600</v>
      </c>
      <c r="E773" s="5">
        <v>2769</v>
      </c>
      <c r="F773" s="5" t="s">
        <v>82</v>
      </c>
      <c r="G773" s="5">
        <v>26</v>
      </c>
      <c r="H773" s="5" t="s">
        <v>29</v>
      </c>
      <c r="I773" s="5" t="s">
        <v>30</v>
      </c>
      <c r="J773" s="5">
        <v>1548482400</v>
      </c>
      <c r="K773" s="5">
        <v>1550815200</v>
      </c>
      <c r="L773" s="5" t="b">
        <v>0</v>
      </c>
      <c r="M773" s="5" t="b">
        <v>0</v>
      </c>
      <c r="N773" s="5" t="s">
        <v>41</v>
      </c>
      <c r="O773" s="8">
        <f t="shared" si="772"/>
        <v>0.49446428571428569</v>
      </c>
      <c r="P773" s="9">
        <f t="shared" si="762"/>
        <v>106.5</v>
      </c>
      <c r="Q773" s="5" t="str" cm="1">
        <f t="array" ref="Q773:R773">_xlfn.TEXTSPLIT(N773,"/")</f>
        <v>theater</v>
      </c>
      <c r="R773" t="str">
        <v>plays</v>
      </c>
      <c r="S773" s="10">
        <f t="shared" ref="S773:T773" si="779">(((J773/60)/60)/24)+DATE(1970,1,1)</f>
        <v>43491.25</v>
      </c>
      <c r="T773" s="10">
        <f t="shared" si="779"/>
        <v>43518.25</v>
      </c>
    </row>
    <row r="774" spans="1:20" ht="15.75" customHeight="1" x14ac:dyDescent="0.25">
      <c r="A774" s="5">
        <v>772</v>
      </c>
      <c r="B774" s="6" t="s">
        <v>1587</v>
      </c>
      <c r="C774" s="7" t="s">
        <v>1588</v>
      </c>
      <c r="D774" s="5">
        <v>149600</v>
      </c>
      <c r="E774" s="5">
        <v>169586</v>
      </c>
      <c r="F774" s="5" t="s">
        <v>28</v>
      </c>
      <c r="G774" s="5">
        <v>5139</v>
      </c>
      <c r="H774" s="5" t="s">
        <v>29</v>
      </c>
      <c r="I774" s="5" t="s">
        <v>30</v>
      </c>
      <c r="J774" s="5">
        <v>1549692000</v>
      </c>
      <c r="K774" s="5">
        <v>1550037600</v>
      </c>
      <c r="L774" s="5" t="b">
        <v>0</v>
      </c>
      <c r="M774" s="5" t="b">
        <v>0</v>
      </c>
      <c r="N774" s="5" t="s">
        <v>68</v>
      </c>
      <c r="O774" s="8">
        <f t="shared" si="772"/>
        <v>1.1335962566844919</v>
      </c>
      <c r="P774" s="9">
        <f t="shared" si="762"/>
        <v>32.999805409612762</v>
      </c>
      <c r="Q774" s="5" t="str" cm="1">
        <f t="array" ref="Q774:R774">_xlfn.TEXTSPLIT(N774,"/")</f>
        <v>music</v>
      </c>
      <c r="R774" t="str">
        <v>indie rock</v>
      </c>
      <c r="S774" s="10">
        <f t="shared" ref="S774:T774" si="780">(((J774/60)/60)/24)+DATE(1970,1,1)</f>
        <v>43505.25</v>
      </c>
      <c r="T774" s="10">
        <f t="shared" si="780"/>
        <v>43509.25</v>
      </c>
    </row>
    <row r="775" spans="1:20" ht="15.75" customHeight="1" x14ac:dyDescent="0.25">
      <c r="A775" s="5">
        <v>773</v>
      </c>
      <c r="B775" s="6" t="s">
        <v>1589</v>
      </c>
      <c r="C775" s="7" t="s">
        <v>1590</v>
      </c>
      <c r="D775" s="5">
        <v>53100</v>
      </c>
      <c r="E775" s="5">
        <v>101185</v>
      </c>
      <c r="F775" s="5" t="s">
        <v>28</v>
      </c>
      <c r="G775" s="5">
        <v>2353</v>
      </c>
      <c r="H775" s="5" t="s">
        <v>29</v>
      </c>
      <c r="I775" s="5" t="s">
        <v>30</v>
      </c>
      <c r="J775" s="5">
        <v>1492059600</v>
      </c>
      <c r="K775" s="5">
        <v>1492923600</v>
      </c>
      <c r="L775" s="5" t="b">
        <v>0</v>
      </c>
      <c r="M775" s="5" t="b">
        <v>0</v>
      </c>
      <c r="N775" s="5" t="s">
        <v>41</v>
      </c>
      <c r="O775" s="8">
        <f t="shared" si="772"/>
        <v>1.9055555555555554</v>
      </c>
      <c r="P775" s="9">
        <f t="shared" si="762"/>
        <v>43.00254993625159</v>
      </c>
      <c r="Q775" s="5" t="str" cm="1">
        <f t="array" ref="Q775:R775">_xlfn.TEXTSPLIT(N775,"/")</f>
        <v>theater</v>
      </c>
      <c r="R775" t="str">
        <v>plays</v>
      </c>
      <c r="S775" s="10">
        <f t="shared" ref="S775:T775" si="781">(((J775/60)/60)/24)+DATE(1970,1,1)</f>
        <v>42838.208333333328</v>
      </c>
      <c r="T775" s="10">
        <f t="shared" si="781"/>
        <v>42848.208333333328</v>
      </c>
    </row>
    <row r="776" spans="1:20" ht="15.75" customHeight="1" x14ac:dyDescent="0.25">
      <c r="A776" s="5">
        <v>774</v>
      </c>
      <c r="B776" s="6" t="s">
        <v>1591</v>
      </c>
      <c r="C776" s="7" t="s">
        <v>1592</v>
      </c>
      <c r="D776" s="5">
        <v>5000</v>
      </c>
      <c r="E776" s="5">
        <v>6775</v>
      </c>
      <c r="F776" s="5" t="s">
        <v>28</v>
      </c>
      <c r="G776" s="5">
        <v>78</v>
      </c>
      <c r="H776" s="5" t="s">
        <v>115</v>
      </c>
      <c r="I776" s="5" t="s">
        <v>116</v>
      </c>
      <c r="J776" s="5">
        <v>1463979600</v>
      </c>
      <c r="K776" s="5">
        <v>1467522000</v>
      </c>
      <c r="L776" s="5" t="b">
        <v>0</v>
      </c>
      <c r="M776" s="5" t="b">
        <v>0</v>
      </c>
      <c r="N776" s="5" t="s">
        <v>36</v>
      </c>
      <c r="O776" s="8">
        <f t="shared" si="772"/>
        <v>1.355</v>
      </c>
      <c r="P776" s="9">
        <f t="shared" si="762"/>
        <v>86.858974358974365</v>
      </c>
      <c r="Q776" s="5" t="str" cm="1">
        <f t="array" ref="Q776:R776">_xlfn.TEXTSPLIT(N776,"/")</f>
        <v>technology</v>
      </c>
      <c r="R776" t="str">
        <v>web</v>
      </c>
      <c r="S776" s="10">
        <f t="shared" ref="S776:T776" si="782">(((J776/60)/60)/24)+DATE(1970,1,1)</f>
        <v>42513.208333333328</v>
      </c>
      <c r="T776" s="10">
        <f t="shared" si="782"/>
        <v>42554.208333333328</v>
      </c>
    </row>
    <row r="777" spans="1:20" ht="15.75" customHeight="1" x14ac:dyDescent="0.25">
      <c r="A777" s="5">
        <v>775</v>
      </c>
      <c r="B777" s="6" t="s">
        <v>1593</v>
      </c>
      <c r="C777" s="7" t="s">
        <v>1594</v>
      </c>
      <c r="D777" s="5">
        <v>9400</v>
      </c>
      <c r="E777" s="5">
        <v>968</v>
      </c>
      <c r="F777" s="5" t="s">
        <v>22</v>
      </c>
      <c r="G777" s="5">
        <v>10</v>
      </c>
      <c r="H777" s="5" t="s">
        <v>29</v>
      </c>
      <c r="I777" s="5" t="s">
        <v>30</v>
      </c>
      <c r="J777" s="5">
        <v>1415253600</v>
      </c>
      <c r="K777" s="5">
        <v>1416117600</v>
      </c>
      <c r="L777" s="5" t="b">
        <v>0</v>
      </c>
      <c r="M777" s="5" t="b">
        <v>0</v>
      </c>
      <c r="N777" s="5" t="s">
        <v>31</v>
      </c>
      <c r="O777" s="8">
        <f t="shared" si="772"/>
        <v>0.10297872340425532</v>
      </c>
      <c r="P777" s="9">
        <f t="shared" si="762"/>
        <v>96.8</v>
      </c>
      <c r="Q777" s="5" t="str" cm="1">
        <f t="array" ref="Q777:R777">_xlfn.TEXTSPLIT(N777,"/")</f>
        <v>music</v>
      </c>
      <c r="R777" t="str">
        <v>rock</v>
      </c>
      <c r="S777" s="10">
        <f t="shared" ref="S777:T777" si="783">(((J777/60)/60)/24)+DATE(1970,1,1)</f>
        <v>41949.25</v>
      </c>
      <c r="T777" s="10">
        <f t="shared" si="783"/>
        <v>41959.25</v>
      </c>
    </row>
    <row r="778" spans="1:20" ht="15.75" customHeight="1" x14ac:dyDescent="0.25">
      <c r="A778" s="5">
        <v>776</v>
      </c>
      <c r="B778" s="6" t="s">
        <v>1595</v>
      </c>
      <c r="C778" s="7" t="s">
        <v>1596</v>
      </c>
      <c r="D778" s="5">
        <v>110800</v>
      </c>
      <c r="E778" s="5">
        <v>72623</v>
      </c>
      <c r="F778" s="5" t="s">
        <v>22</v>
      </c>
      <c r="G778" s="5">
        <v>2201</v>
      </c>
      <c r="H778" s="5" t="s">
        <v>29</v>
      </c>
      <c r="I778" s="5" t="s">
        <v>30</v>
      </c>
      <c r="J778" s="5">
        <v>1562216400</v>
      </c>
      <c r="K778" s="5">
        <v>1563771600</v>
      </c>
      <c r="L778" s="5" t="b">
        <v>0</v>
      </c>
      <c r="M778" s="5" t="b">
        <v>0</v>
      </c>
      <c r="N778" s="5" t="s">
        <v>41</v>
      </c>
      <c r="O778" s="8">
        <f t="shared" si="772"/>
        <v>0.65544223826714798</v>
      </c>
      <c r="P778" s="9">
        <f t="shared" si="762"/>
        <v>32.995456610631528</v>
      </c>
      <c r="Q778" s="5" t="str" cm="1">
        <f t="array" ref="Q778:R778">_xlfn.TEXTSPLIT(N778,"/")</f>
        <v>theater</v>
      </c>
      <c r="R778" t="str">
        <v>plays</v>
      </c>
      <c r="S778" s="10">
        <f t="shared" ref="S778:T778" si="784">(((J778/60)/60)/24)+DATE(1970,1,1)</f>
        <v>43650.208333333328</v>
      </c>
      <c r="T778" s="10">
        <f t="shared" si="784"/>
        <v>43668.208333333328</v>
      </c>
    </row>
    <row r="779" spans="1:20" ht="15.75" customHeight="1" x14ac:dyDescent="0.25">
      <c r="A779" s="5">
        <v>777</v>
      </c>
      <c r="B779" s="6" t="s">
        <v>1597</v>
      </c>
      <c r="C779" s="7" t="s">
        <v>1598</v>
      </c>
      <c r="D779" s="5">
        <v>93800</v>
      </c>
      <c r="E779" s="5">
        <v>45987</v>
      </c>
      <c r="F779" s="5" t="s">
        <v>22</v>
      </c>
      <c r="G779" s="5">
        <v>676</v>
      </c>
      <c r="H779" s="5" t="s">
        <v>29</v>
      </c>
      <c r="I779" s="5" t="s">
        <v>30</v>
      </c>
      <c r="J779" s="5">
        <v>1316754000</v>
      </c>
      <c r="K779" s="5">
        <v>1319259600</v>
      </c>
      <c r="L779" s="5" t="b">
        <v>0</v>
      </c>
      <c r="M779" s="5" t="b">
        <v>0</v>
      </c>
      <c r="N779" s="5" t="s">
        <v>41</v>
      </c>
      <c r="O779" s="8">
        <f t="shared" si="772"/>
        <v>0.49026652452025588</v>
      </c>
      <c r="P779" s="9">
        <f t="shared" si="762"/>
        <v>68.028106508875737</v>
      </c>
      <c r="Q779" s="5" t="str" cm="1">
        <f t="array" ref="Q779:R779">_xlfn.TEXTSPLIT(N779,"/")</f>
        <v>theater</v>
      </c>
      <c r="R779" t="str">
        <v>plays</v>
      </c>
      <c r="S779" s="10">
        <f t="shared" ref="S779:T779" si="785">(((J779/60)/60)/24)+DATE(1970,1,1)</f>
        <v>40809.208333333336</v>
      </c>
      <c r="T779" s="10">
        <f t="shared" si="785"/>
        <v>40838.208333333336</v>
      </c>
    </row>
    <row r="780" spans="1:20" ht="15.75" customHeight="1" x14ac:dyDescent="0.25">
      <c r="A780" s="5">
        <v>778</v>
      </c>
      <c r="B780" s="6" t="s">
        <v>1599</v>
      </c>
      <c r="C780" s="7" t="s">
        <v>1600</v>
      </c>
      <c r="D780" s="5">
        <v>1300</v>
      </c>
      <c r="E780" s="5">
        <v>10243</v>
      </c>
      <c r="F780" s="5" t="s">
        <v>28</v>
      </c>
      <c r="G780" s="5">
        <v>174</v>
      </c>
      <c r="H780" s="5" t="s">
        <v>106</v>
      </c>
      <c r="I780" s="5" t="s">
        <v>107</v>
      </c>
      <c r="J780" s="5">
        <v>1313211600</v>
      </c>
      <c r="K780" s="5">
        <v>1313643600</v>
      </c>
      <c r="L780" s="5" t="b">
        <v>0</v>
      </c>
      <c r="M780" s="5" t="b">
        <v>0</v>
      </c>
      <c r="N780" s="5" t="s">
        <v>79</v>
      </c>
      <c r="O780" s="8">
        <f t="shared" si="772"/>
        <v>7.8792307692307695</v>
      </c>
      <c r="P780" s="9">
        <f t="shared" si="762"/>
        <v>58.867816091954026</v>
      </c>
      <c r="Q780" s="5" t="str" cm="1">
        <f t="array" ref="Q780:R780">_xlfn.TEXTSPLIT(N780,"/")</f>
        <v>film &amp; video</v>
      </c>
      <c r="R780" t="str">
        <v>animation</v>
      </c>
      <c r="S780" s="10">
        <f t="shared" ref="S780:T780" si="786">(((J780/60)/60)/24)+DATE(1970,1,1)</f>
        <v>40768.208333333336</v>
      </c>
      <c r="T780" s="10">
        <f t="shared" si="786"/>
        <v>40773.208333333336</v>
      </c>
    </row>
    <row r="781" spans="1:20" ht="15.75" customHeight="1" x14ac:dyDescent="0.25">
      <c r="A781" s="5">
        <v>779</v>
      </c>
      <c r="B781" s="6" t="s">
        <v>1601</v>
      </c>
      <c r="C781" s="7" t="s">
        <v>1602</v>
      </c>
      <c r="D781" s="5">
        <v>108700</v>
      </c>
      <c r="E781" s="5">
        <v>87293</v>
      </c>
      <c r="F781" s="5" t="s">
        <v>22</v>
      </c>
      <c r="G781" s="5">
        <v>831</v>
      </c>
      <c r="H781" s="5" t="s">
        <v>29</v>
      </c>
      <c r="I781" s="5" t="s">
        <v>30</v>
      </c>
      <c r="J781" s="5">
        <v>1439528400</v>
      </c>
      <c r="K781" s="5">
        <v>1440306000</v>
      </c>
      <c r="L781" s="5" t="b">
        <v>0</v>
      </c>
      <c r="M781" s="5" t="b">
        <v>1</v>
      </c>
      <c r="N781" s="5" t="s">
        <v>41</v>
      </c>
      <c r="O781" s="8">
        <f t="shared" si="772"/>
        <v>0.80306347746090156</v>
      </c>
      <c r="P781" s="9">
        <f t="shared" si="762"/>
        <v>105.04572803850782</v>
      </c>
      <c r="Q781" s="5" t="str" cm="1">
        <f t="array" ref="Q781:R781">_xlfn.TEXTSPLIT(N781,"/")</f>
        <v>theater</v>
      </c>
      <c r="R781" t="str">
        <v>plays</v>
      </c>
      <c r="S781" s="10">
        <f t="shared" ref="S781:T781" si="787">(((J781/60)/60)/24)+DATE(1970,1,1)</f>
        <v>42230.208333333328</v>
      </c>
      <c r="T781" s="10">
        <f t="shared" si="787"/>
        <v>42239.208333333328</v>
      </c>
    </row>
    <row r="782" spans="1:20" ht="15.75" customHeight="1" x14ac:dyDescent="0.25">
      <c r="A782" s="5">
        <v>780</v>
      </c>
      <c r="B782" s="6" t="s">
        <v>1603</v>
      </c>
      <c r="C782" s="7" t="s">
        <v>1604</v>
      </c>
      <c r="D782" s="5">
        <v>5100</v>
      </c>
      <c r="E782" s="5">
        <v>5421</v>
      </c>
      <c r="F782" s="5" t="s">
        <v>28</v>
      </c>
      <c r="G782" s="5">
        <v>164</v>
      </c>
      <c r="H782" s="5" t="s">
        <v>29</v>
      </c>
      <c r="I782" s="5" t="s">
        <v>30</v>
      </c>
      <c r="J782" s="5">
        <v>1469163600</v>
      </c>
      <c r="K782" s="5">
        <v>1470805200</v>
      </c>
      <c r="L782" s="5" t="b">
        <v>0</v>
      </c>
      <c r="M782" s="5" t="b">
        <v>1</v>
      </c>
      <c r="N782" s="5" t="s">
        <v>61</v>
      </c>
      <c r="O782" s="8">
        <f t="shared" si="772"/>
        <v>1.0629411764705883</v>
      </c>
      <c r="P782" s="9">
        <f t="shared" si="762"/>
        <v>33.054878048780488</v>
      </c>
      <c r="Q782" s="5" t="str" cm="1">
        <f t="array" ref="Q782:R782">_xlfn.TEXTSPLIT(N782,"/")</f>
        <v>film &amp; video</v>
      </c>
      <c r="R782" t="str">
        <v>drama</v>
      </c>
      <c r="S782" s="10">
        <f t="shared" ref="S782:T782" si="788">(((J782/60)/60)/24)+DATE(1970,1,1)</f>
        <v>42573.208333333328</v>
      </c>
      <c r="T782" s="10">
        <f t="shared" si="788"/>
        <v>42592.208333333328</v>
      </c>
    </row>
    <row r="783" spans="1:20" ht="15.75" customHeight="1" x14ac:dyDescent="0.25">
      <c r="A783" s="5">
        <v>781</v>
      </c>
      <c r="B783" s="6" t="s">
        <v>1605</v>
      </c>
      <c r="C783" s="7" t="s">
        <v>1606</v>
      </c>
      <c r="D783" s="5">
        <v>8700</v>
      </c>
      <c r="E783" s="5">
        <v>4414</v>
      </c>
      <c r="F783" s="5" t="s">
        <v>82</v>
      </c>
      <c r="G783" s="5">
        <v>56</v>
      </c>
      <c r="H783" s="5" t="s">
        <v>106</v>
      </c>
      <c r="I783" s="5" t="s">
        <v>107</v>
      </c>
      <c r="J783" s="5">
        <v>1288501200</v>
      </c>
      <c r="K783" s="5">
        <v>1292911200</v>
      </c>
      <c r="L783" s="5" t="b">
        <v>0</v>
      </c>
      <c r="M783" s="5" t="b">
        <v>0</v>
      </c>
      <c r="N783" s="5" t="s">
        <v>41</v>
      </c>
      <c r="O783" s="8">
        <f t="shared" si="772"/>
        <v>0.50735632183908042</v>
      </c>
      <c r="P783" s="9">
        <f t="shared" si="762"/>
        <v>78.821428571428569</v>
      </c>
      <c r="Q783" s="5" t="str" cm="1">
        <f t="array" ref="Q783:R783">_xlfn.TEXTSPLIT(N783,"/")</f>
        <v>theater</v>
      </c>
      <c r="R783" t="str">
        <v>plays</v>
      </c>
      <c r="S783" s="10">
        <f t="shared" ref="S783:T783" si="789">(((J783/60)/60)/24)+DATE(1970,1,1)</f>
        <v>40482.208333333336</v>
      </c>
      <c r="T783" s="10">
        <f t="shared" si="789"/>
        <v>40533.25</v>
      </c>
    </row>
    <row r="784" spans="1:20" ht="15.75" customHeight="1" x14ac:dyDescent="0.25">
      <c r="A784" s="5">
        <v>782</v>
      </c>
      <c r="B784" s="6" t="s">
        <v>1607</v>
      </c>
      <c r="C784" s="7" t="s">
        <v>1608</v>
      </c>
      <c r="D784" s="5">
        <v>5100</v>
      </c>
      <c r="E784" s="5">
        <v>10981</v>
      </c>
      <c r="F784" s="5" t="s">
        <v>28</v>
      </c>
      <c r="G784" s="5">
        <v>161</v>
      </c>
      <c r="H784" s="5" t="s">
        <v>29</v>
      </c>
      <c r="I784" s="5" t="s">
        <v>30</v>
      </c>
      <c r="J784" s="5">
        <v>1298959200</v>
      </c>
      <c r="K784" s="5">
        <v>1301374800</v>
      </c>
      <c r="L784" s="5" t="b">
        <v>0</v>
      </c>
      <c r="M784" s="5" t="b">
        <v>1</v>
      </c>
      <c r="N784" s="5" t="s">
        <v>79</v>
      </c>
      <c r="O784" s="8">
        <f t="shared" si="772"/>
        <v>2.153137254901961</v>
      </c>
      <c r="P784" s="9">
        <f t="shared" si="762"/>
        <v>68.204968944099377</v>
      </c>
      <c r="Q784" s="5" t="str" cm="1">
        <f t="array" ref="Q784:R784">_xlfn.TEXTSPLIT(N784,"/")</f>
        <v>film &amp; video</v>
      </c>
      <c r="R784" t="str">
        <v>animation</v>
      </c>
      <c r="S784" s="10">
        <f t="shared" ref="S784:T784" si="790">(((J784/60)/60)/24)+DATE(1970,1,1)</f>
        <v>40603.25</v>
      </c>
      <c r="T784" s="10">
        <f t="shared" si="790"/>
        <v>40631.208333333336</v>
      </c>
    </row>
    <row r="785" spans="1:20" ht="15.75" customHeight="1" x14ac:dyDescent="0.25">
      <c r="A785" s="5">
        <v>783</v>
      </c>
      <c r="B785" s="6" t="s">
        <v>1609</v>
      </c>
      <c r="C785" s="7" t="s">
        <v>1610</v>
      </c>
      <c r="D785" s="5">
        <v>7400</v>
      </c>
      <c r="E785" s="5">
        <v>10451</v>
      </c>
      <c r="F785" s="5" t="s">
        <v>28</v>
      </c>
      <c r="G785" s="5">
        <v>138</v>
      </c>
      <c r="H785" s="5" t="s">
        <v>29</v>
      </c>
      <c r="I785" s="5" t="s">
        <v>30</v>
      </c>
      <c r="J785" s="5">
        <v>1387260000</v>
      </c>
      <c r="K785" s="5">
        <v>1387864800</v>
      </c>
      <c r="L785" s="5" t="b">
        <v>0</v>
      </c>
      <c r="M785" s="5" t="b">
        <v>0</v>
      </c>
      <c r="N785" s="5" t="s">
        <v>31</v>
      </c>
      <c r="O785" s="8">
        <f t="shared" si="772"/>
        <v>1.4122972972972974</v>
      </c>
      <c r="P785" s="9">
        <f t="shared" si="762"/>
        <v>75.731884057971016</v>
      </c>
      <c r="Q785" s="5" t="str" cm="1">
        <f t="array" ref="Q785:R785">_xlfn.TEXTSPLIT(N785,"/")</f>
        <v>music</v>
      </c>
      <c r="R785" t="str">
        <v>rock</v>
      </c>
      <c r="S785" s="10">
        <f t="shared" ref="S785:T785" si="791">(((J785/60)/60)/24)+DATE(1970,1,1)</f>
        <v>41625.25</v>
      </c>
      <c r="T785" s="10">
        <f t="shared" si="791"/>
        <v>41632.25</v>
      </c>
    </row>
    <row r="786" spans="1:20" ht="15.75" customHeight="1" x14ac:dyDescent="0.25">
      <c r="A786" s="5">
        <v>784</v>
      </c>
      <c r="B786" s="6" t="s">
        <v>1611</v>
      </c>
      <c r="C786" s="7" t="s">
        <v>1612</v>
      </c>
      <c r="D786" s="5">
        <v>88900</v>
      </c>
      <c r="E786" s="5">
        <v>102535</v>
      </c>
      <c r="F786" s="5" t="s">
        <v>28</v>
      </c>
      <c r="G786" s="5">
        <v>3308</v>
      </c>
      <c r="H786" s="5" t="s">
        <v>29</v>
      </c>
      <c r="I786" s="5" t="s">
        <v>30</v>
      </c>
      <c r="J786" s="5">
        <v>1457244000</v>
      </c>
      <c r="K786" s="5">
        <v>1458190800</v>
      </c>
      <c r="L786" s="5" t="b">
        <v>0</v>
      </c>
      <c r="M786" s="5" t="b">
        <v>0</v>
      </c>
      <c r="N786" s="5" t="s">
        <v>36</v>
      </c>
      <c r="O786" s="8">
        <f t="shared" si="772"/>
        <v>1.1533745781777278</v>
      </c>
      <c r="P786" s="9">
        <f t="shared" si="762"/>
        <v>30.996070133010882</v>
      </c>
      <c r="Q786" s="5" t="str" cm="1">
        <f t="array" ref="Q786:R786">_xlfn.TEXTSPLIT(N786,"/")</f>
        <v>technology</v>
      </c>
      <c r="R786" t="str">
        <v>web</v>
      </c>
      <c r="S786" s="10">
        <f t="shared" ref="S786:T786" si="792">(((J786/60)/60)/24)+DATE(1970,1,1)</f>
        <v>42435.25</v>
      </c>
      <c r="T786" s="10">
        <f t="shared" si="792"/>
        <v>42446.208333333328</v>
      </c>
    </row>
    <row r="787" spans="1:20" ht="15.75" customHeight="1" x14ac:dyDescent="0.25">
      <c r="A787" s="5">
        <v>785</v>
      </c>
      <c r="B787" s="6" t="s">
        <v>1613</v>
      </c>
      <c r="C787" s="7" t="s">
        <v>1614</v>
      </c>
      <c r="D787" s="5">
        <v>6700</v>
      </c>
      <c r="E787" s="5">
        <v>12939</v>
      </c>
      <c r="F787" s="5" t="s">
        <v>28</v>
      </c>
      <c r="G787" s="5">
        <v>127</v>
      </c>
      <c r="H787" s="5" t="s">
        <v>34</v>
      </c>
      <c r="I787" s="5" t="s">
        <v>35</v>
      </c>
      <c r="J787" s="5">
        <v>1556341200</v>
      </c>
      <c r="K787" s="5">
        <v>1559278800</v>
      </c>
      <c r="L787" s="5" t="b">
        <v>0</v>
      </c>
      <c r="M787" s="5" t="b">
        <v>1</v>
      </c>
      <c r="N787" s="5" t="s">
        <v>79</v>
      </c>
      <c r="O787" s="8">
        <f t="shared" si="772"/>
        <v>1.9311940298507462</v>
      </c>
      <c r="P787" s="9">
        <f t="shared" si="762"/>
        <v>101.88188976377953</v>
      </c>
      <c r="Q787" s="5" t="str" cm="1">
        <f t="array" ref="Q787:R787">_xlfn.TEXTSPLIT(N787,"/")</f>
        <v>film &amp; video</v>
      </c>
      <c r="R787" t="str">
        <v>animation</v>
      </c>
      <c r="S787" s="10">
        <f t="shared" ref="S787:T787" si="793">(((J787/60)/60)/24)+DATE(1970,1,1)</f>
        <v>43582.208333333328</v>
      </c>
      <c r="T787" s="10">
        <f t="shared" si="793"/>
        <v>43616.208333333328</v>
      </c>
    </row>
    <row r="788" spans="1:20" ht="15.75" customHeight="1" x14ac:dyDescent="0.25">
      <c r="A788" s="5">
        <v>786</v>
      </c>
      <c r="B788" s="6" t="s">
        <v>1615</v>
      </c>
      <c r="C788" s="7" t="s">
        <v>1616</v>
      </c>
      <c r="D788" s="5">
        <v>1500</v>
      </c>
      <c r="E788" s="5">
        <v>10946</v>
      </c>
      <c r="F788" s="5" t="s">
        <v>28</v>
      </c>
      <c r="G788" s="5">
        <v>207</v>
      </c>
      <c r="H788" s="5" t="s">
        <v>115</v>
      </c>
      <c r="I788" s="5" t="s">
        <v>116</v>
      </c>
      <c r="J788" s="5">
        <v>1522126800</v>
      </c>
      <c r="K788" s="5">
        <v>1522731600</v>
      </c>
      <c r="L788" s="5" t="b">
        <v>0</v>
      </c>
      <c r="M788" s="5" t="b">
        <v>1</v>
      </c>
      <c r="N788" s="5" t="s">
        <v>167</v>
      </c>
      <c r="O788" s="8">
        <f t="shared" si="772"/>
        <v>7.2973333333333334</v>
      </c>
      <c r="P788" s="9">
        <f t="shared" si="762"/>
        <v>52.879227053140099</v>
      </c>
      <c r="Q788" s="5" t="str" cm="1">
        <f t="array" ref="Q788:R788">_xlfn.TEXTSPLIT(N788,"/")</f>
        <v>music</v>
      </c>
      <c r="R788" t="str">
        <v>jazz</v>
      </c>
      <c r="S788" s="10">
        <f t="shared" ref="S788:T788" si="794">(((J788/60)/60)/24)+DATE(1970,1,1)</f>
        <v>43186.208333333328</v>
      </c>
      <c r="T788" s="10">
        <f t="shared" si="794"/>
        <v>43193.208333333328</v>
      </c>
    </row>
    <row r="789" spans="1:20" ht="15.75" customHeight="1" x14ac:dyDescent="0.25">
      <c r="A789" s="5">
        <v>787</v>
      </c>
      <c r="B789" s="6" t="s">
        <v>1617</v>
      </c>
      <c r="C789" s="7" t="s">
        <v>1618</v>
      </c>
      <c r="D789" s="5">
        <v>61200</v>
      </c>
      <c r="E789" s="5">
        <v>60994</v>
      </c>
      <c r="F789" s="5" t="s">
        <v>22</v>
      </c>
      <c r="G789" s="5">
        <v>859</v>
      </c>
      <c r="H789" s="5" t="s">
        <v>23</v>
      </c>
      <c r="I789" s="5" t="s">
        <v>24</v>
      </c>
      <c r="J789" s="5">
        <v>1305954000</v>
      </c>
      <c r="K789" s="5">
        <v>1306731600</v>
      </c>
      <c r="L789" s="5" t="b">
        <v>0</v>
      </c>
      <c r="M789" s="5" t="b">
        <v>0</v>
      </c>
      <c r="N789" s="5" t="s">
        <v>31</v>
      </c>
      <c r="O789" s="8">
        <f t="shared" si="772"/>
        <v>0.99663398692810456</v>
      </c>
      <c r="P789" s="9">
        <f t="shared" si="762"/>
        <v>71.005820721769496</v>
      </c>
      <c r="Q789" s="5" t="str" cm="1">
        <f t="array" ref="Q789:R789">_xlfn.TEXTSPLIT(N789,"/")</f>
        <v>music</v>
      </c>
      <c r="R789" t="str">
        <v>rock</v>
      </c>
      <c r="S789" s="10">
        <f t="shared" ref="S789:T789" si="795">(((J789/60)/60)/24)+DATE(1970,1,1)</f>
        <v>40684.208333333336</v>
      </c>
      <c r="T789" s="10">
        <f t="shared" si="795"/>
        <v>40693.208333333336</v>
      </c>
    </row>
    <row r="790" spans="1:20" ht="15.75" customHeight="1" x14ac:dyDescent="0.25">
      <c r="A790" s="5">
        <v>788</v>
      </c>
      <c r="B790" s="6" t="s">
        <v>1619</v>
      </c>
      <c r="C790" s="7" t="s">
        <v>1620</v>
      </c>
      <c r="D790" s="5">
        <v>3600</v>
      </c>
      <c r="E790" s="5">
        <v>3174</v>
      </c>
      <c r="F790" s="5" t="s">
        <v>55</v>
      </c>
      <c r="G790" s="5">
        <v>31</v>
      </c>
      <c r="H790" s="5" t="s">
        <v>29</v>
      </c>
      <c r="I790" s="5" t="s">
        <v>30</v>
      </c>
      <c r="J790" s="5">
        <v>1350709200</v>
      </c>
      <c r="K790" s="5">
        <v>1352527200</v>
      </c>
      <c r="L790" s="5" t="b">
        <v>0</v>
      </c>
      <c r="M790" s="5" t="b">
        <v>0</v>
      </c>
      <c r="N790" s="5" t="s">
        <v>79</v>
      </c>
      <c r="O790" s="8">
        <f t="shared" si="772"/>
        <v>0.88166666666666671</v>
      </c>
      <c r="P790" s="9">
        <f t="shared" si="762"/>
        <v>102.38709677419355</v>
      </c>
      <c r="Q790" s="5" t="str" cm="1">
        <f t="array" ref="Q790:R790">_xlfn.TEXTSPLIT(N790,"/")</f>
        <v>film &amp; video</v>
      </c>
      <c r="R790" t="str">
        <v>animation</v>
      </c>
      <c r="S790" s="10">
        <f t="shared" ref="S790:T790" si="796">(((J790/60)/60)/24)+DATE(1970,1,1)</f>
        <v>41202.208333333336</v>
      </c>
      <c r="T790" s="10">
        <f t="shared" si="796"/>
        <v>41223.25</v>
      </c>
    </row>
    <row r="791" spans="1:20" ht="15.75" customHeight="1" x14ac:dyDescent="0.25">
      <c r="A791" s="5">
        <v>789</v>
      </c>
      <c r="B791" s="6" t="s">
        <v>1621</v>
      </c>
      <c r="C791" s="7" t="s">
        <v>1622</v>
      </c>
      <c r="D791" s="5">
        <v>9000</v>
      </c>
      <c r="E791" s="5">
        <v>3351</v>
      </c>
      <c r="F791" s="5" t="s">
        <v>22</v>
      </c>
      <c r="G791" s="5">
        <v>45</v>
      </c>
      <c r="H791" s="5" t="s">
        <v>29</v>
      </c>
      <c r="I791" s="5" t="s">
        <v>30</v>
      </c>
      <c r="J791" s="5">
        <v>1401166800</v>
      </c>
      <c r="K791" s="5">
        <v>1404363600</v>
      </c>
      <c r="L791" s="5" t="b">
        <v>0</v>
      </c>
      <c r="M791" s="5" t="b">
        <v>0</v>
      </c>
      <c r="N791" s="5" t="s">
        <v>41</v>
      </c>
      <c r="O791" s="8">
        <f t="shared" si="772"/>
        <v>0.37233333333333335</v>
      </c>
      <c r="P791" s="9">
        <f t="shared" si="762"/>
        <v>74.466666666666669</v>
      </c>
      <c r="Q791" s="5" t="str" cm="1">
        <f t="array" ref="Q791:R791">_xlfn.TEXTSPLIT(N791,"/")</f>
        <v>theater</v>
      </c>
      <c r="R791" t="str">
        <v>plays</v>
      </c>
      <c r="S791" s="10">
        <f t="shared" ref="S791:T791" si="797">(((J791/60)/60)/24)+DATE(1970,1,1)</f>
        <v>41786.208333333336</v>
      </c>
      <c r="T791" s="10">
        <f t="shared" si="797"/>
        <v>41823.208333333336</v>
      </c>
    </row>
    <row r="792" spans="1:20" ht="15.75" customHeight="1" x14ac:dyDescent="0.25">
      <c r="A792" s="5">
        <v>790</v>
      </c>
      <c r="B792" s="6" t="s">
        <v>1623</v>
      </c>
      <c r="C792" s="7" t="s">
        <v>1624</v>
      </c>
      <c r="D792" s="5">
        <v>185900</v>
      </c>
      <c r="E792" s="5">
        <v>56774</v>
      </c>
      <c r="F792" s="5" t="s">
        <v>82</v>
      </c>
      <c r="G792" s="5">
        <v>1113</v>
      </c>
      <c r="H792" s="5" t="s">
        <v>29</v>
      </c>
      <c r="I792" s="5" t="s">
        <v>30</v>
      </c>
      <c r="J792" s="5">
        <v>1266127200</v>
      </c>
      <c r="K792" s="5">
        <v>1266645600</v>
      </c>
      <c r="L792" s="5" t="b">
        <v>0</v>
      </c>
      <c r="M792" s="5" t="b">
        <v>0</v>
      </c>
      <c r="N792" s="5" t="s">
        <v>41</v>
      </c>
      <c r="O792" s="8">
        <f t="shared" si="772"/>
        <v>0.30540075309306081</v>
      </c>
      <c r="P792" s="9">
        <f t="shared" si="762"/>
        <v>51.009883198562441</v>
      </c>
      <c r="Q792" s="5" t="str" cm="1">
        <f t="array" ref="Q792:R792">_xlfn.TEXTSPLIT(N792,"/")</f>
        <v>theater</v>
      </c>
      <c r="R792" t="str">
        <v>plays</v>
      </c>
      <c r="S792" s="10">
        <f t="shared" ref="S792:T792" si="798">(((J792/60)/60)/24)+DATE(1970,1,1)</f>
        <v>40223.25</v>
      </c>
      <c r="T792" s="10">
        <f t="shared" si="798"/>
        <v>40229.25</v>
      </c>
    </row>
    <row r="793" spans="1:20" ht="15.75" customHeight="1" x14ac:dyDescent="0.25">
      <c r="A793" s="5">
        <v>791</v>
      </c>
      <c r="B793" s="6" t="s">
        <v>1625</v>
      </c>
      <c r="C793" s="7" t="s">
        <v>1626</v>
      </c>
      <c r="D793" s="5">
        <v>2100</v>
      </c>
      <c r="E793" s="5">
        <v>540</v>
      </c>
      <c r="F793" s="5" t="s">
        <v>22</v>
      </c>
      <c r="G793" s="5">
        <v>6</v>
      </c>
      <c r="H793" s="5" t="s">
        <v>29</v>
      </c>
      <c r="I793" s="5" t="s">
        <v>30</v>
      </c>
      <c r="J793" s="5">
        <v>1481436000</v>
      </c>
      <c r="K793" s="5">
        <v>1482818400</v>
      </c>
      <c r="L793" s="5" t="b">
        <v>0</v>
      </c>
      <c r="M793" s="5" t="b">
        <v>0</v>
      </c>
      <c r="N793" s="5" t="s">
        <v>25</v>
      </c>
      <c r="O793" s="8">
        <f t="shared" si="772"/>
        <v>0.25714285714285712</v>
      </c>
      <c r="P793" s="9">
        <f t="shared" si="762"/>
        <v>90</v>
      </c>
      <c r="Q793" s="5" t="str" cm="1">
        <f t="array" ref="Q793:R793">_xlfn.TEXTSPLIT(N793,"/")</f>
        <v>food</v>
      </c>
      <c r="R793" t="str">
        <v>food trucks</v>
      </c>
      <c r="S793" s="10">
        <f t="shared" ref="S793:T793" si="799">(((J793/60)/60)/24)+DATE(1970,1,1)</f>
        <v>42715.25</v>
      </c>
      <c r="T793" s="10">
        <f t="shared" si="799"/>
        <v>42731.25</v>
      </c>
    </row>
    <row r="794" spans="1:20" ht="15.75" customHeight="1" x14ac:dyDescent="0.25">
      <c r="A794" s="5">
        <v>792</v>
      </c>
      <c r="B794" s="6" t="s">
        <v>1627</v>
      </c>
      <c r="C794" s="7" t="s">
        <v>1628</v>
      </c>
      <c r="D794" s="5">
        <v>2000</v>
      </c>
      <c r="E794" s="5">
        <v>680</v>
      </c>
      <c r="F794" s="5" t="s">
        <v>22</v>
      </c>
      <c r="G794" s="5">
        <v>7</v>
      </c>
      <c r="H794" s="5" t="s">
        <v>29</v>
      </c>
      <c r="I794" s="5" t="s">
        <v>30</v>
      </c>
      <c r="J794" s="5">
        <v>1372222800</v>
      </c>
      <c r="K794" s="5">
        <v>1374642000</v>
      </c>
      <c r="L794" s="5" t="b">
        <v>0</v>
      </c>
      <c r="M794" s="5" t="b">
        <v>1</v>
      </c>
      <c r="N794" s="5" t="s">
        <v>41</v>
      </c>
      <c r="O794" s="8">
        <f t="shared" si="772"/>
        <v>0.34</v>
      </c>
      <c r="P794" s="9">
        <f t="shared" si="762"/>
        <v>97.142857142857139</v>
      </c>
      <c r="Q794" s="5" t="str" cm="1">
        <f t="array" ref="Q794:R794">_xlfn.TEXTSPLIT(N794,"/")</f>
        <v>theater</v>
      </c>
      <c r="R794" t="str">
        <v>plays</v>
      </c>
      <c r="S794" s="10">
        <f t="shared" ref="S794:T794" si="800">(((J794/60)/60)/24)+DATE(1970,1,1)</f>
        <v>41451.208333333336</v>
      </c>
      <c r="T794" s="10">
        <f t="shared" si="800"/>
        <v>41479.208333333336</v>
      </c>
    </row>
    <row r="795" spans="1:20" ht="15.75" customHeight="1" x14ac:dyDescent="0.25">
      <c r="A795" s="5">
        <v>793</v>
      </c>
      <c r="B795" s="6" t="s">
        <v>1629</v>
      </c>
      <c r="C795" s="7" t="s">
        <v>1630</v>
      </c>
      <c r="D795" s="5">
        <v>1100</v>
      </c>
      <c r="E795" s="5">
        <v>13045</v>
      </c>
      <c r="F795" s="5" t="s">
        <v>28</v>
      </c>
      <c r="G795" s="5">
        <v>181</v>
      </c>
      <c r="H795" s="5" t="s">
        <v>106</v>
      </c>
      <c r="I795" s="5" t="s">
        <v>107</v>
      </c>
      <c r="J795" s="5">
        <v>1372136400</v>
      </c>
      <c r="K795" s="5">
        <v>1372482000</v>
      </c>
      <c r="L795" s="5" t="b">
        <v>0</v>
      </c>
      <c r="M795" s="5" t="b">
        <v>0</v>
      </c>
      <c r="N795" s="5" t="s">
        <v>76</v>
      </c>
      <c r="O795" s="8">
        <f t="shared" si="772"/>
        <v>11.859090909090909</v>
      </c>
      <c r="P795" s="9">
        <f t="shared" si="762"/>
        <v>72.071823204419886</v>
      </c>
      <c r="Q795" s="5" t="str" cm="1">
        <f t="array" ref="Q795:R795">_xlfn.TEXTSPLIT(N795,"/")</f>
        <v>publishing</v>
      </c>
      <c r="R795" t="str">
        <v>nonfiction</v>
      </c>
      <c r="S795" s="10">
        <f t="shared" ref="S795:T795" si="801">(((J795/60)/60)/24)+DATE(1970,1,1)</f>
        <v>41450.208333333336</v>
      </c>
      <c r="T795" s="10">
        <f t="shared" si="801"/>
        <v>41454.208333333336</v>
      </c>
    </row>
    <row r="796" spans="1:20" ht="15.75" customHeight="1" x14ac:dyDescent="0.25">
      <c r="A796" s="5">
        <v>794</v>
      </c>
      <c r="B796" s="6" t="s">
        <v>1631</v>
      </c>
      <c r="C796" s="7" t="s">
        <v>1632</v>
      </c>
      <c r="D796" s="5">
        <v>6600</v>
      </c>
      <c r="E796" s="5">
        <v>8276</v>
      </c>
      <c r="F796" s="5" t="s">
        <v>28</v>
      </c>
      <c r="G796" s="5">
        <v>110</v>
      </c>
      <c r="H796" s="5" t="s">
        <v>29</v>
      </c>
      <c r="I796" s="5" t="s">
        <v>30</v>
      </c>
      <c r="J796" s="5">
        <v>1513922400</v>
      </c>
      <c r="K796" s="5">
        <v>1514959200</v>
      </c>
      <c r="L796" s="5" t="b">
        <v>0</v>
      </c>
      <c r="M796" s="5" t="b">
        <v>0</v>
      </c>
      <c r="N796" s="5" t="s">
        <v>31</v>
      </c>
      <c r="O796" s="8">
        <f t="shared" si="772"/>
        <v>1.2539393939393939</v>
      </c>
      <c r="P796" s="9">
        <f t="shared" si="762"/>
        <v>75.236363636363635</v>
      </c>
      <c r="Q796" s="5" t="str" cm="1">
        <f t="array" ref="Q796:R796">_xlfn.TEXTSPLIT(N796,"/")</f>
        <v>music</v>
      </c>
      <c r="R796" t="str">
        <v>rock</v>
      </c>
      <c r="S796" s="10">
        <f t="shared" ref="S796:T796" si="802">(((J796/60)/60)/24)+DATE(1970,1,1)</f>
        <v>43091.25</v>
      </c>
      <c r="T796" s="10">
        <f t="shared" si="802"/>
        <v>43103.25</v>
      </c>
    </row>
    <row r="797" spans="1:20" ht="15.75" customHeight="1" x14ac:dyDescent="0.25">
      <c r="A797" s="5">
        <v>795</v>
      </c>
      <c r="B797" s="6" t="s">
        <v>1633</v>
      </c>
      <c r="C797" s="7" t="s">
        <v>1634</v>
      </c>
      <c r="D797" s="5">
        <v>7100</v>
      </c>
      <c r="E797" s="5">
        <v>1022</v>
      </c>
      <c r="F797" s="5" t="s">
        <v>22</v>
      </c>
      <c r="G797" s="5">
        <v>31</v>
      </c>
      <c r="H797" s="5" t="s">
        <v>29</v>
      </c>
      <c r="I797" s="5" t="s">
        <v>30</v>
      </c>
      <c r="J797" s="5">
        <v>1477976400</v>
      </c>
      <c r="K797" s="5">
        <v>1478235600</v>
      </c>
      <c r="L797" s="5" t="b">
        <v>0</v>
      </c>
      <c r="M797" s="5" t="b">
        <v>0</v>
      </c>
      <c r="N797" s="5" t="s">
        <v>61</v>
      </c>
      <c r="O797" s="8">
        <f t="shared" si="772"/>
        <v>0.14394366197183098</v>
      </c>
      <c r="P797" s="9">
        <f t="shared" si="762"/>
        <v>32.967741935483872</v>
      </c>
      <c r="Q797" s="5" t="str" cm="1">
        <f t="array" ref="Q797:R797">_xlfn.TEXTSPLIT(N797,"/")</f>
        <v>film &amp; video</v>
      </c>
      <c r="R797" t="str">
        <v>drama</v>
      </c>
      <c r="S797" s="10">
        <f t="shared" ref="S797:T797" si="803">(((J797/60)/60)/24)+DATE(1970,1,1)</f>
        <v>42675.208333333328</v>
      </c>
      <c r="T797" s="10">
        <f t="shared" si="803"/>
        <v>42678.208333333328</v>
      </c>
    </row>
    <row r="798" spans="1:20" ht="15.75" customHeight="1" x14ac:dyDescent="0.25">
      <c r="A798" s="5">
        <v>796</v>
      </c>
      <c r="B798" s="6" t="s">
        <v>1635</v>
      </c>
      <c r="C798" s="7" t="s">
        <v>1636</v>
      </c>
      <c r="D798" s="5">
        <v>7800</v>
      </c>
      <c r="E798" s="5">
        <v>4275</v>
      </c>
      <c r="F798" s="5" t="s">
        <v>22</v>
      </c>
      <c r="G798" s="5">
        <v>78</v>
      </c>
      <c r="H798" s="5" t="s">
        <v>29</v>
      </c>
      <c r="I798" s="5" t="s">
        <v>30</v>
      </c>
      <c r="J798" s="5">
        <v>1407474000</v>
      </c>
      <c r="K798" s="5">
        <v>1408078800</v>
      </c>
      <c r="L798" s="5" t="b">
        <v>0</v>
      </c>
      <c r="M798" s="5" t="b">
        <v>1</v>
      </c>
      <c r="N798" s="5" t="s">
        <v>300</v>
      </c>
      <c r="O798" s="8">
        <f t="shared" si="772"/>
        <v>0.54807692307692313</v>
      </c>
      <c r="P798" s="9">
        <f t="shared" si="762"/>
        <v>54.807692307692307</v>
      </c>
      <c r="Q798" s="5" t="str" cm="1">
        <f t="array" ref="Q798:R798">_xlfn.TEXTSPLIT(N798,"/")</f>
        <v>games</v>
      </c>
      <c r="R798" t="str">
        <v>mobile games</v>
      </c>
      <c r="S798" s="10">
        <f t="shared" ref="S798:T798" si="804">(((J798/60)/60)/24)+DATE(1970,1,1)</f>
        <v>41859.208333333336</v>
      </c>
      <c r="T798" s="10">
        <f t="shared" si="804"/>
        <v>41866.208333333336</v>
      </c>
    </row>
    <row r="799" spans="1:20" ht="15.75" customHeight="1" x14ac:dyDescent="0.25">
      <c r="A799" s="5">
        <v>797</v>
      </c>
      <c r="B799" s="6" t="s">
        <v>1637</v>
      </c>
      <c r="C799" s="7" t="s">
        <v>1638</v>
      </c>
      <c r="D799" s="5">
        <v>7600</v>
      </c>
      <c r="E799" s="5">
        <v>8332</v>
      </c>
      <c r="F799" s="5" t="s">
        <v>28</v>
      </c>
      <c r="G799" s="5">
        <v>185</v>
      </c>
      <c r="H799" s="5" t="s">
        <v>29</v>
      </c>
      <c r="I799" s="5" t="s">
        <v>30</v>
      </c>
      <c r="J799" s="5">
        <v>1546149600</v>
      </c>
      <c r="K799" s="5">
        <v>1548136800</v>
      </c>
      <c r="L799" s="5" t="b">
        <v>0</v>
      </c>
      <c r="M799" s="5" t="b">
        <v>0</v>
      </c>
      <c r="N799" s="5" t="s">
        <v>36</v>
      </c>
      <c r="O799" s="8">
        <f t="shared" si="772"/>
        <v>1.0963157894736841</v>
      </c>
      <c r="P799" s="9">
        <f t="shared" si="762"/>
        <v>45.037837837837834</v>
      </c>
      <c r="Q799" s="5" t="str" cm="1">
        <f t="array" ref="Q799:R799">_xlfn.TEXTSPLIT(N799,"/")</f>
        <v>technology</v>
      </c>
      <c r="R799" t="str">
        <v>web</v>
      </c>
      <c r="S799" s="10">
        <f t="shared" ref="S799:T799" si="805">(((J799/60)/60)/24)+DATE(1970,1,1)</f>
        <v>43464.25</v>
      </c>
      <c r="T799" s="10">
        <f t="shared" si="805"/>
        <v>43487.25</v>
      </c>
    </row>
    <row r="800" spans="1:20" ht="15.75" customHeight="1" x14ac:dyDescent="0.25">
      <c r="A800" s="5">
        <v>798</v>
      </c>
      <c r="B800" s="6" t="s">
        <v>1639</v>
      </c>
      <c r="C800" s="7" t="s">
        <v>1640</v>
      </c>
      <c r="D800" s="5">
        <v>3400</v>
      </c>
      <c r="E800" s="5">
        <v>6408</v>
      </c>
      <c r="F800" s="5" t="s">
        <v>28</v>
      </c>
      <c r="G800" s="5">
        <v>121</v>
      </c>
      <c r="H800" s="5" t="s">
        <v>29</v>
      </c>
      <c r="I800" s="5" t="s">
        <v>30</v>
      </c>
      <c r="J800" s="5">
        <v>1338440400</v>
      </c>
      <c r="K800" s="5">
        <v>1340859600</v>
      </c>
      <c r="L800" s="5" t="b">
        <v>0</v>
      </c>
      <c r="M800" s="5" t="b">
        <v>1</v>
      </c>
      <c r="N800" s="5" t="s">
        <v>41</v>
      </c>
      <c r="O800" s="8">
        <f t="shared" si="772"/>
        <v>1.8847058823529412</v>
      </c>
      <c r="P800" s="9">
        <f t="shared" si="762"/>
        <v>52.958677685950413</v>
      </c>
      <c r="Q800" s="5" t="str" cm="1">
        <f t="array" ref="Q800:R800">_xlfn.TEXTSPLIT(N800,"/")</f>
        <v>theater</v>
      </c>
      <c r="R800" t="str">
        <v>plays</v>
      </c>
      <c r="S800" s="10">
        <f t="shared" ref="S800:T800" si="806">(((J800/60)/60)/24)+DATE(1970,1,1)</f>
        <v>41060.208333333336</v>
      </c>
      <c r="T800" s="10">
        <f t="shared" si="806"/>
        <v>41088.208333333336</v>
      </c>
    </row>
    <row r="801" spans="1:20" ht="15.75" customHeight="1" x14ac:dyDescent="0.25">
      <c r="A801" s="5">
        <v>799</v>
      </c>
      <c r="B801" s="6" t="s">
        <v>1641</v>
      </c>
      <c r="C801" s="7" t="s">
        <v>1642</v>
      </c>
      <c r="D801" s="5">
        <v>84500</v>
      </c>
      <c r="E801" s="5">
        <v>73522</v>
      </c>
      <c r="F801" s="5" t="s">
        <v>22</v>
      </c>
      <c r="G801" s="5">
        <v>1225</v>
      </c>
      <c r="H801" s="5" t="s">
        <v>48</v>
      </c>
      <c r="I801" s="5" t="s">
        <v>49</v>
      </c>
      <c r="J801" s="5">
        <v>1454133600</v>
      </c>
      <c r="K801" s="5">
        <v>1454479200</v>
      </c>
      <c r="L801" s="5" t="b">
        <v>0</v>
      </c>
      <c r="M801" s="5" t="b">
        <v>0</v>
      </c>
      <c r="N801" s="5" t="s">
        <v>41</v>
      </c>
      <c r="O801" s="8">
        <f t="shared" si="772"/>
        <v>0.87008284023668636</v>
      </c>
      <c r="P801" s="9">
        <f t="shared" si="762"/>
        <v>60.017959183673469</v>
      </c>
      <c r="Q801" s="5" t="str" cm="1">
        <f t="array" ref="Q801:R801">_xlfn.TEXTSPLIT(N801,"/")</f>
        <v>theater</v>
      </c>
      <c r="R801" t="str">
        <v>plays</v>
      </c>
      <c r="S801" s="10">
        <f t="shared" ref="S801:T801" si="807">(((J801/60)/60)/24)+DATE(1970,1,1)</f>
        <v>42399.25</v>
      </c>
      <c r="T801" s="10">
        <f t="shared" si="807"/>
        <v>42403.25</v>
      </c>
    </row>
    <row r="802" spans="1:20" ht="15.75" customHeight="1" x14ac:dyDescent="0.25">
      <c r="A802" s="5">
        <v>800</v>
      </c>
      <c r="B802" s="6" t="s">
        <v>1643</v>
      </c>
      <c r="C802" s="7" t="s">
        <v>1644</v>
      </c>
      <c r="D802" s="5">
        <v>100</v>
      </c>
      <c r="E802" s="5">
        <v>1</v>
      </c>
      <c r="F802" s="5" t="s">
        <v>22</v>
      </c>
      <c r="G802" s="5">
        <v>1</v>
      </c>
      <c r="H802" s="5" t="s">
        <v>106</v>
      </c>
      <c r="I802" s="5" t="s">
        <v>107</v>
      </c>
      <c r="J802" s="5">
        <v>1434085200</v>
      </c>
      <c r="K802" s="5">
        <v>1434430800</v>
      </c>
      <c r="L802" s="5" t="b">
        <v>0</v>
      </c>
      <c r="M802" s="5" t="b">
        <v>0</v>
      </c>
      <c r="N802" s="5" t="s">
        <v>31</v>
      </c>
      <c r="O802" s="8">
        <f t="shared" si="772"/>
        <v>0.01</v>
      </c>
      <c r="P802" s="9">
        <f t="shared" si="762"/>
        <v>1</v>
      </c>
      <c r="Q802" s="5" t="str" cm="1">
        <f t="array" ref="Q802:R802">_xlfn.TEXTSPLIT(N802,"/")</f>
        <v>music</v>
      </c>
      <c r="R802" t="str">
        <v>rock</v>
      </c>
      <c r="S802" s="10">
        <f t="shared" ref="S802:T802" si="808">(((J802/60)/60)/24)+DATE(1970,1,1)</f>
        <v>42167.208333333328</v>
      </c>
      <c r="T802" s="10">
        <f t="shared" si="808"/>
        <v>42171.208333333328</v>
      </c>
    </row>
    <row r="803" spans="1:20" ht="15.75" customHeight="1" x14ac:dyDescent="0.25">
      <c r="A803" s="5">
        <v>801</v>
      </c>
      <c r="B803" s="6" t="s">
        <v>1645</v>
      </c>
      <c r="C803" s="7" t="s">
        <v>1646</v>
      </c>
      <c r="D803" s="5">
        <v>2300</v>
      </c>
      <c r="E803" s="5">
        <v>4667</v>
      </c>
      <c r="F803" s="5" t="s">
        <v>28</v>
      </c>
      <c r="G803" s="5">
        <v>106</v>
      </c>
      <c r="H803" s="5" t="s">
        <v>29</v>
      </c>
      <c r="I803" s="5" t="s">
        <v>30</v>
      </c>
      <c r="J803" s="5">
        <v>1577772000</v>
      </c>
      <c r="K803" s="5">
        <v>1579672800</v>
      </c>
      <c r="L803" s="5" t="b">
        <v>0</v>
      </c>
      <c r="M803" s="5" t="b">
        <v>1</v>
      </c>
      <c r="N803" s="5" t="s">
        <v>130</v>
      </c>
      <c r="O803" s="8">
        <f t="shared" si="772"/>
        <v>2.0291304347826089</v>
      </c>
      <c r="P803" s="9">
        <f t="shared" si="762"/>
        <v>44.028301886792455</v>
      </c>
      <c r="Q803" s="5" t="str" cm="1">
        <f t="array" ref="Q803:R803">_xlfn.TEXTSPLIT(N803,"/")</f>
        <v>photography</v>
      </c>
      <c r="R803" t="str">
        <v>photography books</v>
      </c>
      <c r="S803" s="10">
        <f t="shared" ref="S803:T803" si="809">(((J803/60)/60)/24)+DATE(1970,1,1)</f>
        <v>43830.25</v>
      </c>
      <c r="T803" s="10">
        <f t="shared" si="809"/>
        <v>43852.25</v>
      </c>
    </row>
    <row r="804" spans="1:20" ht="15.75" customHeight="1" x14ac:dyDescent="0.25">
      <c r="A804" s="5">
        <v>802</v>
      </c>
      <c r="B804" s="6" t="s">
        <v>1647</v>
      </c>
      <c r="C804" s="7" t="s">
        <v>1648</v>
      </c>
      <c r="D804" s="5">
        <v>6200</v>
      </c>
      <c r="E804" s="5">
        <v>12216</v>
      </c>
      <c r="F804" s="5" t="s">
        <v>28</v>
      </c>
      <c r="G804" s="5">
        <v>142</v>
      </c>
      <c r="H804" s="5" t="s">
        <v>29</v>
      </c>
      <c r="I804" s="5" t="s">
        <v>30</v>
      </c>
      <c r="J804" s="5">
        <v>1562216400</v>
      </c>
      <c r="K804" s="5">
        <v>1562389200</v>
      </c>
      <c r="L804" s="5" t="b">
        <v>0</v>
      </c>
      <c r="M804" s="5" t="b">
        <v>0</v>
      </c>
      <c r="N804" s="5" t="s">
        <v>130</v>
      </c>
      <c r="O804" s="8">
        <f t="shared" si="772"/>
        <v>1.9703225806451612</v>
      </c>
      <c r="P804" s="9">
        <f t="shared" si="762"/>
        <v>86.028169014084511</v>
      </c>
      <c r="Q804" s="5" t="str" cm="1">
        <f t="array" ref="Q804:R804">_xlfn.TEXTSPLIT(N804,"/")</f>
        <v>photography</v>
      </c>
      <c r="R804" t="str">
        <v>photography books</v>
      </c>
      <c r="S804" s="10">
        <f t="shared" ref="S804:T804" si="810">(((J804/60)/60)/24)+DATE(1970,1,1)</f>
        <v>43650.208333333328</v>
      </c>
      <c r="T804" s="10">
        <f t="shared" si="810"/>
        <v>43652.208333333328</v>
      </c>
    </row>
    <row r="805" spans="1:20" ht="15.75" customHeight="1" x14ac:dyDescent="0.25">
      <c r="A805" s="5">
        <v>803</v>
      </c>
      <c r="B805" s="6" t="s">
        <v>1649</v>
      </c>
      <c r="C805" s="7" t="s">
        <v>1650</v>
      </c>
      <c r="D805" s="5">
        <v>6100</v>
      </c>
      <c r="E805" s="5">
        <v>6527</v>
      </c>
      <c r="F805" s="5" t="s">
        <v>28</v>
      </c>
      <c r="G805" s="5">
        <v>233</v>
      </c>
      <c r="H805" s="5" t="s">
        <v>29</v>
      </c>
      <c r="I805" s="5" t="s">
        <v>30</v>
      </c>
      <c r="J805" s="5">
        <v>1548568800</v>
      </c>
      <c r="K805" s="5">
        <v>1551506400</v>
      </c>
      <c r="L805" s="5" t="b">
        <v>0</v>
      </c>
      <c r="M805" s="5" t="b">
        <v>0</v>
      </c>
      <c r="N805" s="5" t="s">
        <v>41</v>
      </c>
      <c r="O805" s="8">
        <f t="shared" si="772"/>
        <v>1.07</v>
      </c>
      <c r="P805" s="9">
        <f t="shared" si="762"/>
        <v>28.012875536480685</v>
      </c>
      <c r="Q805" s="5" t="str" cm="1">
        <f t="array" ref="Q805:R805">_xlfn.TEXTSPLIT(N805,"/")</f>
        <v>theater</v>
      </c>
      <c r="R805" t="str">
        <v>plays</v>
      </c>
      <c r="S805" s="10">
        <f t="shared" ref="S805:T805" si="811">(((J805/60)/60)/24)+DATE(1970,1,1)</f>
        <v>43492.25</v>
      </c>
      <c r="T805" s="10">
        <f t="shared" si="811"/>
        <v>43526.25</v>
      </c>
    </row>
    <row r="806" spans="1:20" ht="15.75" customHeight="1" x14ac:dyDescent="0.25">
      <c r="A806" s="5">
        <v>804</v>
      </c>
      <c r="B806" s="6" t="s">
        <v>1651</v>
      </c>
      <c r="C806" s="7" t="s">
        <v>1652</v>
      </c>
      <c r="D806" s="5">
        <v>2600</v>
      </c>
      <c r="E806" s="5">
        <v>6987</v>
      </c>
      <c r="F806" s="5" t="s">
        <v>28</v>
      </c>
      <c r="G806" s="5">
        <v>218</v>
      </c>
      <c r="H806" s="5" t="s">
        <v>29</v>
      </c>
      <c r="I806" s="5" t="s">
        <v>30</v>
      </c>
      <c r="J806" s="5">
        <v>1514872800</v>
      </c>
      <c r="K806" s="5">
        <v>1516600800</v>
      </c>
      <c r="L806" s="5" t="b">
        <v>0</v>
      </c>
      <c r="M806" s="5" t="b">
        <v>0</v>
      </c>
      <c r="N806" s="5" t="s">
        <v>31</v>
      </c>
      <c r="O806" s="8">
        <f t="shared" si="772"/>
        <v>2.6873076923076922</v>
      </c>
      <c r="P806" s="9">
        <f t="shared" si="762"/>
        <v>32.050458715596328</v>
      </c>
      <c r="Q806" s="5" t="str" cm="1">
        <f t="array" ref="Q806:R806">_xlfn.TEXTSPLIT(N806,"/")</f>
        <v>music</v>
      </c>
      <c r="R806" t="str">
        <v>rock</v>
      </c>
      <c r="S806" s="10">
        <f t="shared" ref="S806:T806" si="812">(((J806/60)/60)/24)+DATE(1970,1,1)</f>
        <v>43102.25</v>
      </c>
      <c r="T806" s="10">
        <f t="shared" si="812"/>
        <v>43122.25</v>
      </c>
    </row>
    <row r="807" spans="1:20" ht="15.75" customHeight="1" x14ac:dyDescent="0.25">
      <c r="A807" s="5">
        <v>805</v>
      </c>
      <c r="B807" s="6" t="s">
        <v>1653</v>
      </c>
      <c r="C807" s="7" t="s">
        <v>1654</v>
      </c>
      <c r="D807" s="5">
        <v>9700</v>
      </c>
      <c r="E807" s="5">
        <v>4932</v>
      </c>
      <c r="F807" s="5" t="s">
        <v>22</v>
      </c>
      <c r="G807" s="5">
        <v>67</v>
      </c>
      <c r="H807" s="5" t="s">
        <v>34</v>
      </c>
      <c r="I807" s="5" t="s">
        <v>35</v>
      </c>
      <c r="J807" s="5">
        <v>1416031200</v>
      </c>
      <c r="K807" s="5">
        <v>1420437600</v>
      </c>
      <c r="L807" s="5" t="b">
        <v>0</v>
      </c>
      <c r="M807" s="5" t="b">
        <v>0</v>
      </c>
      <c r="N807" s="5" t="s">
        <v>50</v>
      </c>
      <c r="O807" s="8">
        <f t="shared" si="772"/>
        <v>0.50845360824742269</v>
      </c>
      <c r="P807" s="9">
        <f t="shared" si="762"/>
        <v>73.611940298507463</v>
      </c>
      <c r="Q807" s="5" t="str" cm="1">
        <f t="array" ref="Q807:R807">_xlfn.TEXTSPLIT(N807,"/")</f>
        <v>film &amp; video</v>
      </c>
      <c r="R807" t="str">
        <v>documentary</v>
      </c>
      <c r="S807" s="10">
        <f t="shared" ref="S807:T807" si="813">(((J807/60)/60)/24)+DATE(1970,1,1)</f>
        <v>41958.25</v>
      </c>
      <c r="T807" s="10">
        <f t="shared" si="813"/>
        <v>42009.25</v>
      </c>
    </row>
    <row r="808" spans="1:20" ht="15.75" customHeight="1" x14ac:dyDescent="0.25">
      <c r="A808" s="5">
        <v>806</v>
      </c>
      <c r="B808" s="6" t="s">
        <v>1655</v>
      </c>
      <c r="C808" s="7" t="s">
        <v>1656</v>
      </c>
      <c r="D808" s="5">
        <v>700</v>
      </c>
      <c r="E808" s="5">
        <v>8262</v>
      </c>
      <c r="F808" s="5" t="s">
        <v>28</v>
      </c>
      <c r="G808" s="5">
        <v>76</v>
      </c>
      <c r="H808" s="5" t="s">
        <v>29</v>
      </c>
      <c r="I808" s="5" t="s">
        <v>30</v>
      </c>
      <c r="J808" s="5">
        <v>1330927200</v>
      </c>
      <c r="K808" s="5">
        <v>1332997200</v>
      </c>
      <c r="L808" s="5" t="b">
        <v>0</v>
      </c>
      <c r="M808" s="5" t="b">
        <v>1</v>
      </c>
      <c r="N808" s="5" t="s">
        <v>61</v>
      </c>
      <c r="O808" s="8">
        <f t="shared" si="772"/>
        <v>11.802857142857142</v>
      </c>
      <c r="P808" s="9">
        <f t="shared" si="762"/>
        <v>108.71052631578948</v>
      </c>
      <c r="Q808" s="5" t="str" cm="1">
        <f t="array" ref="Q808:R808">_xlfn.TEXTSPLIT(N808,"/")</f>
        <v>film &amp; video</v>
      </c>
      <c r="R808" t="str">
        <v>drama</v>
      </c>
      <c r="S808" s="10">
        <f t="shared" ref="S808:T808" si="814">(((J808/60)/60)/24)+DATE(1970,1,1)</f>
        <v>40973.25</v>
      </c>
      <c r="T808" s="10">
        <f t="shared" si="814"/>
        <v>40997.208333333336</v>
      </c>
    </row>
    <row r="809" spans="1:20" ht="15.75" customHeight="1" x14ac:dyDescent="0.25">
      <c r="A809" s="5">
        <v>807</v>
      </c>
      <c r="B809" s="6" t="s">
        <v>1657</v>
      </c>
      <c r="C809" s="7" t="s">
        <v>1658</v>
      </c>
      <c r="D809" s="5">
        <v>700</v>
      </c>
      <c r="E809" s="5">
        <v>1848</v>
      </c>
      <c r="F809" s="5" t="s">
        <v>28</v>
      </c>
      <c r="G809" s="5">
        <v>43</v>
      </c>
      <c r="H809" s="5" t="s">
        <v>29</v>
      </c>
      <c r="I809" s="5" t="s">
        <v>30</v>
      </c>
      <c r="J809" s="5">
        <v>1571115600</v>
      </c>
      <c r="K809" s="5">
        <v>1574920800</v>
      </c>
      <c r="L809" s="5" t="b">
        <v>0</v>
      </c>
      <c r="M809" s="5" t="b">
        <v>1</v>
      </c>
      <c r="N809" s="5" t="s">
        <v>41</v>
      </c>
      <c r="O809" s="8">
        <f t="shared" si="772"/>
        <v>2.64</v>
      </c>
      <c r="P809" s="9">
        <f t="shared" si="762"/>
        <v>42.97674418604651</v>
      </c>
      <c r="Q809" s="5" t="str" cm="1">
        <f t="array" ref="Q809:R809">_xlfn.TEXTSPLIT(N809,"/")</f>
        <v>theater</v>
      </c>
      <c r="R809" t="str">
        <v>plays</v>
      </c>
      <c r="S809" s="10">
        <f t="shared" ref="S809:T809" si="815">(((J809/60)/60)/24)+DATE(1970,1,1)</f>
        <v>43753.208333333328</v>
      </c>
      <c r="T809" s="10">
        <f t="shared" si="815"/>
        <v>43797.25</v>
      </c>
    </row>
    <row r="810" spans="1:20" ht="15.75" customHeight="1" x14ac:dyDescent="0.25">
      <c r="A810" s="5">
        <v>808</v>
      </c>
      <c r="B810" s="6" t="s">
        <v>1659</v>
      </c>
      <c r="C810" s="7" t="s">
        <v>1660</v>
      </c>
      <c r="D810" s="5">
        <v>5200</v>
      </c>
      <c r="E810" s="5">
        <v>1583</v>
      </c>
      <c r="F810" s="5" t="s">
        <v>22</v>
      </c>
      <c r="G810" s="5">
        <v>19</v>
      </c>
      <c r="H810" s="5" t="s">
        <v>29</v>
      </c>
      <c r="I810" s="5" t="s">
        <v>30</v>
      </c>
      <c r="J810" s="5">
        <v>1463461200</v>
      </c>
      <c r="K810" s="5">
        <v>1464930000</v>
      </c>
      <c r="L810" s="5" t="b">
        <v>0</v>
      </c>
      <c r="M810" s="5" t="b">
        <v>0</v>
      </c>
      <c r="N810" s="5" t="s">
        <v>25</v>
      </c>
      <c r="O810" s="8">
        <f t="shared" si="772"/>
        <v>0.30442307692307691</v>
      </c>
      <c r="P810" s="9">
        <f t="shared" si="762"/>
        <v>83.315789473684205</v>
      </c>
      <c r="Q810" s="5" t="str" cm="1">
        <f t="array" ref="Q810:R810">_xlfn.TEXTSPLIT(N810,"/")</f>
        <v>food</v>
      </c>
      <c r="R810" t="str">
        <v>food trucks</v>
      </c>
      <c r="S810" s="10">
        <f t="shared" ref="S810:T810" si="816">(((J810/60)/60)/24)+DATE(1970,1,1)</f>
        <v>42507.208333333328</v>
      </c>
      <c r="T810" s="10">
        <f t="shared" si="816"/>
        <v>42524.208333333328</v>
      </c>
    </row>
    <row r="811" spans="1:20" ht="15.75" customHeight="1" x14ac:dyDescent="0.25">
      <c r="A811" s="5">
        <v>809</v>
      </c>
      <c r="B811" s="6" t="s">
        <v>1607</v>
      </c>
      <c r="C811" s="7" t="s">
        <v>1661</v>
      </c>
      <c r="D811" s="5">
        <v>140800</v>
      </c>
      <c r="E811" s="5">
        <v>88536</v>
      </c>
      <c r="F811" s="5" t="s">
        <v>22</v>
      </c>
      <c r="G811" s="5">
        <v>2108</v>
      </c>
      <c r="H811" s="5" t="s">
        <v>106</v>
      </c>
      <c r="I811" s="5" t="s">
        <v>107</v>
      </c>
      <c r="J811" s="5">
        <v>1344920400</v>
      </c>
      <c r="K811" s="5">
        <v>1345006800</v>
      </c>
      <c r="L811" s="5" t="b">
        <v>0</v>
      </c>
      <c r="M811" s="5" t="b">
        <v>0</v>
      </c>
      <c r="N811" s="5" t="s">
        <v>50</v>
      </c>
      <c r="O811" s="8">
        <f t="shared" si="772"/>
        <v>0.62880681818181816</v>
      </c>
      <c r="P811" s="9">
        <f t="shared" si="762"/>
        <v>42</v>
      </c>
      <c r="Q811" s="5" t="str" cm="1">
        <f t="array" ref="Q811:R811">_xlfn.TEXTSPLIT(N811,"/")</f>
        <v>film &amp; video</v>
      </c>
      <c r="R811" t="str">
        <v>documentary</v>
      </c>
      <c r="S811" s="10">
        <f t="shared" ref="S811:T811" si="817">(((J811/60)/60)/24)+DATE(1970,1,1)</f>
        <v>41135.208333333336</v>
      </c>
      <c r="T811" s="10">
        <f t="shared" si="817"/>
        <v>41136.208333333336</v>
      </c>
    </row>
    <row r="812" spans="1:20" ht="15.75" customHeight="1" x14ac:dyDescent="0.25">
      <c r="A812" s="5">
        <v>810</v>
      </c>
      <c r="B812" s="6" t="s">
        <v>1662</v>
      </c>
      <c r="C812" s="7" t="s">
        <v>1663</v>
      </c>
      <c r="D812" s="5">
        <v>6400</v>
      </c>
      <c r="E812" s="5">
        <v>12360</v>
      </c>
      <c r="F812" s="5" t="s">
        <v>28</v>
      </c>
      <c r="G812" s="5">
        <v>221</v>
      </c>
      <c r="H812" s="5" t="s">
        <v>29</v>
      </c>
      <c r="I812" s="5" t="s">
        <v>30</v>
      </c>
      <c r="J812" s="5">
        <v>1511848800</v>
      </c>
      <c r="K812" s="5">
        <v>1512712800</v>
      </c>
      <c r="L812" s="5" t="b">
        <v>0</v>
      </c>
      <c r="M812" s="5" t="b">
        <v>1</v>
      </c>
      <c r="N812" s="5" t="s">
        <v>41</v>
      </c>
      <c r="O812" s="8">
        <f t="shared" si="772"/>
        <v>1.9312499999999999</v>
      </c>
      <c r="P812" s="9">
        <f t="shared" si="762"/>
        <v>55.927601809954751</v>
      </c>
      <c r="Q812" s="5" t="str" cm="1">
        <f t="array" ref="Q812:R812">_xlfn.TEXTSPLIT(N812,"/")</f>
        <v>theater</v>
      </c>
      <c r="R812" t="str">
        <v>plays</v>
      </c>
      <c r="S812" s="10">
        <f t="shared" ref="S812:T812" si="818">(((J812/60)/60)/24)+DATE(1970,1,1)</f>
        <v>43067.25</v>
      </c>
      <c r="T812" s="10">
        <f t="shared" si="818"/>
        <v>43077.25</v>
      </c>
    </row>
    <row r="813" spans="1:20" ht="15.75" customHeight="1" x14ac:dyDescent="0.25">
      <c r="A813" s="5">
        <v>811</v>
      </c>
      <c r="B813" s="6" t="s">
        <v>1664</v>
      </c>
      <c r="C813" s="7" t="s">
        <v>1665</v>
      </c>
      <c r="D813" s="5">
        <v>92500</v>
      </c>
      <c r="E813" s="5">
        <v>71320</v>
      </c>
      <c r="F813" s="5" t="s">
        <v>22</v>
      </c>
      <c r="G813" s="5">
        <v>679</v>
      </c>
      <c r="H813" s="5" t="s">
        <v>29</v>
      </c>
      <c r="I813" s="5" t="s">
        <v>30</v>
      </c>
      <c r="J813" s="5">
        <v>1452319200</v>
      </c>
      <c r="K813" s="5">
        <v>1452492000</v>
      </c>
      <c r="L813" s="5" t="b">
        <v>0</v>
      </c>
      <c r="M813" s="5" t="b">
        <v>1</v>
      </c>
      <c r="N813" s="5" t="s">
        <v>97</v>
      </c>
      <c r="O813" s="8">
        <f t="shared" si="772"/>
        <v>0.77102702702702708</v>
      </c>
      <c r="P813" s="9">
        <f t="shared" si="762"/>
        <v>105.03681885125184</v>
      </c>
      <c r="Q813" s="5" t="str" cm="1">
        <f t="array" ref="Q813:R813">_xlfn.TEXTSPLIT(N813,"/")</f>
        <v>games</v>
      </c>
      <c r="R813" t="str">
        <v>video games</v>
      </c>
      <c r="S813" s="10">
        <f t="shared" ref="S813:T813" si="819">(((J813/60)/60)/24)+DATE(1970,1,1)</f>
        <v>42378.25</v>
      </c>
      <c r="T813" s="10">
        <f t="shared" si="819"/>
        <v>42380.25</v>
      </c>
    </row>
    <row r="814" spans="1:20" ht="15.75" customHeight="1" x14ac:dyDescent="0.25">
      <c r="A814" s="5">
        <v>812</v>
      </c>
      <c r="B814" s="6" t="s">
        <v>1666</v>
      </c>
      <c r="C814" s="7" t="s">
        <v>1667</v>
      </c>
      <c r="D814" s="5">
        <v>59700</v>
      </c>
      <c r="E814" s="5">
        <v>134640</v>
      </c>
      <c r="F814" s="5" t="s">
        <v>28</v>
      </c>
      <c r="G814" s="5">
        <v>2805</v>
      </c>
      <c r="H814" s="5" t="s">
        <v>23</v>
      </c>
      <c r="I814" s="5" t="s">
        <v>24</v>
      </c>
      <c r="J814" s="5">
        <v>1523854800</v>
      </c>
      <c r="K814" s="5">
        <v>1524286800</v>
      </c>
      <c r="L814" s="5" t="b">
        <v>0</v>
      </c>
      <c r="M814" s="5" t="b">
        <v>0</v>
      </c>
      <c r="N814" s="5" t="s">
        <v>76</v>
      </c>
      <c r="O814" s="8">
        <f t="shared" si="772"/>
        <v>2.2552763819095478</v>
      </c>
      <c r="P814" s="9">
        <f t="shared" si="762"/>
        <v>48</v>
      </c>
      <c r="Q814" s="5" t="str" cm="1">
        <f t="array" ref="Q814:R814">_xlfn.TEXTSPLIT(N814,"/")</f>
        <v>publishing</v>
      </c>
      <c r="R814" t="str">
        <v>nonfiction</v>
      </c>
      <c r="S814" s="10">
        <f t="shared" ref="S814:T814" si="820">(((J814/60)/60)/24)+DATE(1970,1,1)</f>
        <v>43206.208333333328</v>
      </c>
      <c r="T814" s="10">
        <f t="shared" si="820"/>
        <v>43211.208333333328</v>
      </c>
    </row>
    <row r="815" spans="1:20" ht="15.75" customHeight="1" x14ac:dyDescent="0.25">
      <c r="A815" s="5">
        <v>813</v>
      </c>
      <c r="B815" s="6" t="s">
        <v>1668</v>
      </c>
      <c r="C815" s="7" t="s">
        <v>1669</v>
      </c>
      <c r="D815" s="5">
        <v>3200</v>
      </c>
      <c r="E815" s="5">
        <v>7661</v>
      </c>
      <c r="F815" s="5" t="s">
        <v>28</v>
      </c>
      <c r="G815" s="5">
        <v>68</v>
      </c>
      <c r="H815" s="5" t="s">
        <v>29</v>
      </c>
      <c r="I815" s="5" t="s">
        <v>30</v>
      </c>
      <c r="J815" s="5">
        <v>1346043600</v>
      </c>
      <c r="K815" s="5">
        <v>1346907600</v>
      </c>
      <c r="L815" s="5" t="b">
        <v>0</v>
      </c>
      <c r="M815" s="5" t="b">
        <v>0</v>
      </c>
      <c r="N815" s="5" t="s">
        <v>97</v>
      </c>
      <c r="O815" s="8">
        <f t="shared" si="772"/>
        <v>2.3940625</v>
      </c>
      <c r="P815" s="9">
        <f t="shared" si="762"/>
        <v>112.66176470588235</v>
      </c>
      <c r="Q815" s="5" t="str" cm="1">
        <f t="array" ref="Q815:R815">_xlfn.TEXTSPLIT(N815,"/")</f>
        <v>games</v>
      </c>
      <c r="R815" t="str">
        <v>video games</v>
      </c>
      <c r="S815" s="10">
        <f t="shared" ref="S815:T815" si="821">(((J815/60)/60)/24)+DATE(1970,1,1)</f>
        <v>41148.208333333336</v>
      </c>
      <c r="T815" s="10">
        <f t="shared" si="821"/>
        <v>41158.208333333336</v>
      </c>
    </row>
    <row r="816" spans="1:20" ht="15.75" customHeight="1" x14ac:dyDescent="0.25">
      <c r="A816" s="5">
        <v>814</v>
      </c>
      <c r="B816" s="6" t="s">
        <v>1670</v>
      </c>
      <c r="C816" s="7" t="s">
        <v>1671</v>
      </c>
      <c r="D816" s="5">
        <v>3200</v>
      </c>
      <c r="E816" s="5">
        <v>2950</v>
      </c>
      <c r="F816" s="5" t="s">
        <v>22</v>
      </c>
      <c r="G816" s="5">
        <v>36</v>
      </c>
      <c r="H816" s="5" t="s">
        <v>44</v>
      </c>
      <c r="I816" s="5" t="s">
        <v>45</v>
      </c>
      <c r="J816" s="5">
        <v>1464325200</v>
      </c>
      <c r="K816" s="5">
        <v>1464498000</v>
      </c>
      <c r="L816" s="5" t="b">
        <v>0</v>
      </c>
      <c r="M816" s="5" t="b">
        <v>1</v>
      </c>
      <c r="N816" s="5" t="s">
        <v>31</v>
      </c>
      <c r="O816" s="8">
        <f t="shared" si="772"/>
        <v>0.921875</v>
      </c>
      <c r="P816" s="9">
        <f t="shared" si="762"/>
        <v>81.944444444444443</v>
      </c>
      <c r="Q816" s="5" t="str" cm="1">
        <f t="array" ref="Q816:R816">_xlfn.TEXTSPLIT(N816,"/")</f>
        <v>music</v>
      </c>
      <c r="R816" t="str">
        <v>rock</v>
      </c>
      <c r="S816" s="10">
        <f t="shared" ref="S816:T816" si="822">(((J816/60)/60)/24)+DATE(1970,1,1)</f>
        <v>42517.208333333328</v>
      </c>
      <c r="T816" s="10">
        <f t="shared" si="822"/>
        <v>42519.208333333328</v>
      </c>
    </row>
    <row r="817" spans="1:20" ht="15.75" customHeight="1" x14ac:dyDescent="0.25">
      <c r="A817" s="5">
        <v>815</v>
      </c>
      <c r="B817" s="6" t="s">
        <v>1672</v>
      </c>
      <c r="C817" s="7" t="s">
        <v>1673</v>
      </c>
      <c r="D817" s="5">
        <v>9000</v>
      </c>
      <c r="E817" s="5">
        <v>11721</v>
      </c>
      <c r="F817" s="5" t="s">
        <v>28</v>
      </c>
      <c r="G817" s="5">
        <v>183</v>
      </c>
      <c r="H817" s="5" t="s">
        <v>23</v>
      </c>
      <c r="I817" s="5" t="s">
        <v>24</v>
      </c>
      <c r="J817" s="5">
        <v>1511935200</v>
      </c>
      <c r="K817" s="5">
        <v>1514181600</v>
      </c>
      <c r="L817" s="5" t="b">
        <v>0</v>
      </c>
      <c r="M817" s="5" t="b">
        <v>0</v>
      </c>
      <c r="N817" s="5" t="s">
        <v>31</v>
      </c>
      <c r="O817" s="8">
        <f t="shared" si="772"/>
        <v>1.3023333333333333</v>
      </c>
      <c r="P817" s="9">
        <f t="shared" si="762"/>
        <v>64.049180327868854</v>
      </c>
      <c r="Q817" s="5" t="str" cm="1">
        <f t="array" ref="Q817:R817">_xlfn.TEXTSPLIT(N817,"/")</f>
        <v>music</v>
      </c>
      <c r="R817" t="str">
        <v>rock</v>
      </c>
      <c r="S817" s="10">
        <f t="shared" ref="S817:T817" si="823">(((J817/60)/60)/24)+DATE(1970,1,1)</f>
        <v>43068.25</v>
      </c>
      <c r="T817" s="10">
        <f t="shared" si="823"/>
        <v>43094.25</v>
      </c>
    </row>
    <row r="818" spans="1:20" ht="15.75" customHeight="1" x14ac:dyDescent="0.25">
      <c r="A818" s="5">
        <v>816</v>
      </c>
      <c r="B818" s="6" t="s">
        <v>1674</v>
      </c>
      <c r="C818" s="7" t="s">
        <v>1675</v>
      </c>
      <c r="D818" s="5">
        <v>2300</v>
      </c>
      <c r="E818" s="5">
        <v>14150</v>
      </c>
      <c r="F818" s="5" t="s">
        <v>28</v>
      </c>
      <c r="G818" s="5">
        <v>133</v>
      </c>
      <c r="H818" s="5" t="s">
        <v>29</v>
      </c>
      <c r="I818" s="5" t="s">
        <v>30</v>
      </c>
      <c r="J818" s="5">
        <v>1392012000</v>
      </c>
      <c r="K818" s="5">
        <v>1392184800</v>
      </c>
      <c r="L818" s="5" t="b">
        <v>1</v>
      </c>
      <c r="M818" s="5" t="b">
        <v>1</v>
      </c>
      <c r="N818" s="5" t="s">
        <v>41</v>
      </c>
      <c r="O818" s="8">
        <f t="shared" si="772"/>
        <v>6.1521739130434785</v>
      </c>
      <c r="P818" s="9">
        <f t="shared" si="762"/>
        <v>106.39097744360902</v>
      </c>
      <c r="Q818" s="5" t="str" cm="1">
        <f t="array" ref="Q818:R818">_xlfn.TEXTSPLIT(N818,"/")</f>
        <v>theater</v>
      </c>
      <c r="R818" t="str">
        <v>plays</v>
      </c>
      <c r="S818" s="10">
        <f t="shared" ref="S818:T818" si="824">(((J818/60)/60)/24)+DATE(1970,1,1)</f>
        <v>41680.25</v>
      </c>
      <c r="T818" s="10">
        <f t="shared" si="824"/>
        <v>41682.25</v>
      </c>
    </row>
    <row r="819" spans="1:20" ht="15.75" customHeight="1" x14ac:dyDescent="0.25">
      <c r="A819" s="5">
        <v>817</v>
      </c>
      <c r="B819" s="6" t="s">
        <v>1676</v>
      </c>
      <c r="C819" s="7" t="s">
        <v>1677</v>
      </c>
      <c r="D819" s="5">
        <v>51300</v>
      </c>
      <c r="E819" s="5">
        <v>189192</v>
      </c>
      <c r="F819" s="5" t="s">
        <v>28</v>
      </c>
      <c r="G819" s="5">
        <v>2489</v>
      </c>
      <c r="H819" s="5" t="s">
        <v>115</v>
      </c>
      <c r="I819" s="5" t="s">
        <v>116</v>
      </c>
      <c r="J819" s="5">
        <v>1556946000</v>
      </c>
      <c r="K819" s="5">
        <v>1559365200</v>
      </c>
      <c r="L819" s="5" t="b">
        <v>0</v>
      </c>
      <c r="M819" s="5" t="b">
        <v>1</v>
      </c>
      <c r="N819" s="5" t="s">
        <v>76</v>
      </c>
      <c r="O819" s="8">
        <f t="shared" si="772"/>
        <v>3.687953216374269</v>
      </c>
      <c r="P819" s="9">
        <f t="shared" si="762"/>
        <v>76.011249497790274</v>
      </c>
      <c r="Q819" s="5" t="str" cm="1">
        <f t="array" ref="Q819:R819">_xlfn.TEXTSPLIT(N819,"/")</f>
        <v>publishing</v>
      </c>
      <c r="R819" t="str">
        <v>nonfiction</v>
      </c>
      <c r="S819" s="10">
        <f t="shared" ref="S819:T819" si="825">(((J819/60)/60)/24)+DATE(1970,1,1)</f>
        <v>43589.208333333328</v>
      </c>
      <c r="T819" s="10">
        <f t="shared" si="825"/>
        <v>43617.208333333328</v>
      </c>
    </row>
    <row r="820" spans="1:20" ht="15.75" customHeight="1" x14ac:dyDescent="0.25">
      <c r="A820" s="5">
        <v>818</v>
      </c>
      <c r="B820" s="6" t="s">
        <v>684</v>
      </c>
      <c r="C820" s="7" t="s">
        <v>1678</v>
      </c>
      <c r="D820" s="5">
        <v>700</v>
      </c>
      <c r="E820" s="5">
        <v>7664</v>
      </c>
      <c r="F820" s="5" t="s">
        <v>28</v>
      </c>
      <c r="G820" s="5">
        <v>69</v>
      </c>
      <c r="H820" s="5" t="s">
        <v>29</v>
      </c>
      <c r="I820" s="5" t="s">
        <v>30</v>
      </c>
      <c r="J820" s="5">
        <v>1548050400</v>
      </c>
      <c r="K820" s="5">
        <v>1549173600</v>
      </c>
      <c r="L820" s="5" t="b">
        <v>0</v>
      </c>
      <c r="M820" s="5" t="b">
        <v>1</v>
      </c>
      <c r="N820" s="5" t="s">
        <v>41</v>
      </c>
      <c r="O820" s="8">
        <f t="shared" si="772"/>
        <v>10.948571428571428</v>
      </c>
      <c r="P820" s="9">
        <f t="shared" si="762"/>
        <v>111.07246376811594</v>
      </c>
      <c r="Q820" s="5" t="str" cm="1">
        <f t="array" ref="Q820:R820">_xlfn.TEXTSPLIT(N820,"/")</f>
        <v>theater</v>
      </c>
      <c r="R820" t="str">
        <v>plays</v>
      </c>
      <c r="S820" s="10">
        <f t="shared" ref="S820:T820" si="826">(((J820/60)/60)/24)+DATE(1970,1,1)</f>
        <v>43486.25</v>
      </c>
      <c r="T820" s="10">
        <f t="shared" si="826"/>
        <v>43499.25</v>
      </c>
    </row>
    <row r="821" spans="1:20" ht="15.75" customHeight="1" x14ac:dyDescent="0.25">
      <c r="A821" s="5">
        <v>819</v>
      </c>
      <c r="B821" s="6" t="s">
        <v>1679</v>
      </c>
      <c r="C821" s="7" t="s">
        <v>1680</v>
      </c>
      <c r="D821" s="5">
        <v>8900</v>
      </c>
      <c r="E821" s="5">
        <v>4509</v>
      </c>
      <c r="F821" s="5" t="s">
        <v>22</v>
      </c>
      <c r="G821" s="5">
        <v>47</v>
      </c>
      <c r="H821" s="5" t="s">
        <v>29</v>
      </c>
      <c r="I821" s="5" t="s">
        <v>30</v>
      </c>
      <c r="J821" s="5">
        <v>1353736800</v>
      </c>
      <c r="K821" s="5">
        <v>1355032800</v>
      </c>
      <c r="L821" s="5" t="b">
        <v>1</v>
      </c>
      <c r="M821" s="5" t="b">
        <v>0</v>
      </c>
      <c r="N821" s="5" t="s">
        <v>97</v>
      </c>
      <c r="O821" s="8">
        <f t="shared" si="772"/>
        <v>0.50662921348314605</v>
      </c>
      <c r="P821" s="9">
        <f t="shared" si="762"/>
        <v>95.936170212765958</v>
      </c>
      <c r="Q821" s="5" t="str" cm="1">
        <f t="array" ref="Q821:R821">_xlfn.TEXTSPLIT(N821,"/")</f>
        <v>games</v>
      </c>
      <c r="R821" t="str">
        <v>video games</v>
      </c>
      <c r="S821" s="10">
        <f t="shared" ref="S821:T821" si="827">(((J821/60)/60)/24)+DATE(1970,1,1)</f>
        <v>41237.25</v>
      </c>
      <c r="T821" s="10">
        <f t="shared" si="827"/>
        <v>41252.25</v>
      </c>
    </row>
    <row r="822" spans="1:20" ht="15.75" customHeight="1" x14ac:dyDescent="0.25">
      <c r="A822" s="5">
        <v>820</v>
      </c>
      <c r="B822" s="6" t="s">
        <v>1681</v>
      </c>
      <c r="C822" s="7" t="s">
        <v>1682</v>
      </c>
      <c r="D822" s="5">
        <v>1500</v>
      </c>
      <c r="E822" s="5">
        <v>12009</v>
      </c>
      <c r="F822" s="5" t="s">
        <v>28</v>
      </c>
      <c r="G822" s="5">
        <v>279</v>
      </c>
      <c r="H822" s="5" t="s">
        <v>48</v>
      </c>
      <c r="I822" s="5" t="s">
        <v>49</v>
      </c>
      <c r="J822" s="5">
        <v>1532840400</v>
      </c>
      <c r="K822" s="5">
        <v>1533963600</v>
      </c>
      <c r="L822" s="5" t="b">
        <v>0</v>
      </c>
      <c r="M822" s="5" t="b">
        <v>1</v>
      </c>
      <c r="N822" s="5" t="s">
        <v>31</v>
      </c>
      <c r="O822" s="8">
        <f t="shared" si="772"/>
        <v>8.0060000000000002</v>
      </c>
      <c r="P822" s="9">
        <f t="shared" si="762"/>
        <v>43.043010752688176</v>
      </c>
      <c r="Q822" s="5" t="str" cm="1">
        <f t="array" ref="Q822:R822">_xlfn.TEXTSPLIT(N822,"/")</f>
        <v>music</v>
      </c>
      <c r="R822" t="str">
        <v>rock</v>
      </c>
      <c r="S822" s="10">
        <f t="shared" ref="S822:T822" si="828">(((J822/60)/60)/24)+DATE(1970,1,1)</f>
        <v>43310.208333333328</v>
      </c>
      <c r="T822" s="10">
        <f t="shared" si="828"/>
        <v>43323.208333333328</v>
      </c>
    </row>
    <row r="823" spans="1:20" ht="15.75" customHeight="1" x14ac:dyDescent="0.25">
      <c r="A823" s="5">
        <v>821</v>
      </c>
      <c r="B823" s="6" t="s">
        <v>1683</v>
      </c>
      <c r="C823" s="7" t="s">
        <v>1684</v>
      </c>
      <c r="D823" s="5">
        <v>4900</v>
      </c>
      <c r="E823" s="5">
        <v>14273</v>
      </c>
      <c r="F823" s="5" t="s">
        <v>28</v>
      </c>
      <c r="G823" s="5">
        <v>210</v>
      </c>
      <c r="H823" s="5" t="s">
        <v>29</v>
      </c>
      <c r="I823" s="5" t="s">
        <v>30</v>
      </c>
      <c r="J823" s="5">
        <v>1488261600</v>
      </c>
      <c r="K823" s="5">
        <v>1489381200</v>
      </c>
      <c r="L823" s="5" t="b">
        <v>0</v>
      </c>
      <c r="M823" s="5" t="b">
        <v>0</v>
      </c>
      <c r="N823" s="5" t="s">
        <v>50</v>
      </c>
      <c r="O823" s="8">
        <f t="shared" si="772"/>
        <v>2.9128571428571428</v>
      </c>
      <c r="P823" s="9">
        <f t="shared" si="762"/>
        <v>67.966666666666669</v>
      </c>
      <c r="Q823" s="5" t="str" cm="1">
        <f t="array" ref="Q823:R823">_xlfn.TEXTSPLIT(N823,"/")</f>
        <v>film &amp; video</v>
      </c>
      <c r="R823" t="str">
        <v>documentary</v>
      </c>
      <c r="S823" s="10">
        <f t="shared" ref="S823:T823" si="829">(((J823/60)/60)/24)+DATE(1970,1,1)</f>
        <v>42794.25</v>
      </c>
      <c r="T823" s="10">
        <f t="shared" si="829"/>
        <v>42807.208333333328</v>
      </c>
    </row>
    <row r="824" spans="1:20" ht="15.75" customHeight="1" x14ac:dyDescent="0.25">
      <c r="A824" s="5">
        <v>822</v>
      </c>
      <c r="B824" s="6" t="s">
        <v>1685</v>
      </c>
      <c r="C824" s="7" t="s">
        <v>1686</v>
      </c>
      <c r="D824" s="5">
        <v>54000</v>
      </c>
      <c r="E824" s="5">
        <v>188982</v>
      </c>
      <c r="F824" s="5" t="s">
        <v>28</v>
      </c>
      <c r="G824" s="5">
        <v>2100</v>
      </c>
      <c r="H824" s="5" t="s">
        <v>29</v>
      </c>
      <c r="I824" s="5" t="s">
        <v>30</v>
      </c>
      <c r="J824" s="5">
        <v>1393567200</v>
      </c>
      <c r="K824" s="5">
        <v>1395032400</v>
      </c>
      <c r="L824" s="5" t="b">
        <v>0</v>
      </c>
      <c r="M824" s="5" t="b">
        <v>0</v>
      </c>
      <c r="N824" s="5" t="s">
        <v>31</v>
      </c>
      <c r="O824" s="8">
        <f t="shared" si="772"/>
        <v>3.4996666666666667</v>
      </c>
      <c r="P824" s="9">
        <f t="shared" si="762"/>
        <v>89.991428571428571</v>
      </c>
      <c r="Q824" s="5" t="str" cm="1">
        <f t="array" ref="Q824:R824">_xlfn.TEXTSPLIT(N824,"/")</f>
        <v>music</v>
      </c>
      <c r="R824" t="str">
        <v>rock</v>
      </c>
      <c r="S824" s="10">
        <f t="shared" ref="S824:T824" si="830">(((J824/60)/60)/24)+DATE(1970,1,1)</f>
        <v>41698.25</v>
      </c>
      <c r="T824" s="10">
        <f t="shared" si="830"/>
        <v>41715.208333333336</v>
      </c>
    </row>
    <row r="825" spans="1:20" ht="15.75" customHeight="1" x14ac:dyDescent="0.25">
      <c r="A825" s="5">
        <v>823</v>
      </c>
      <c r="B825" s="6" t="s">
        <v>1687</v>
      </c>
      <c r="C825" s="7" t="s">
        <v>1688</v>
      </c>
      <c r="D825" s="5">
        <v>4100</v>
      </c>
      <c r="E825" s="5">
        <v>14640</v>
      </c>
      <c r="F825" s="5" t="s">
        <v>28</v>
      </c>
      <c r="G825" s="5">
        <v>252</v>
      </c>
      <c r="H825" s="5" t="s">
        <v>29</v>
      </c>
      <c r="I825" s="5" t="s">
        <v>30</v>
      </c>
      <c r="J825" s="5">
        <v>1410325200</v>
      </c>
      <c r="K825" s="5">
        <v>1412485200</v>
      </c>
      <c r="L825" s="5" t="b">
        <v>1</v>
      </c>
      <c r="M825" s="5" t="b">
        <v>1</v>
      </c>
      <c r="N825" s="5" t="s">
        <v>31</v>
      </c>
      <c r="O825" s="8">
        <f t="shared" si="772"/>
        <v>3.5707317073170732</v>
      </c>
      <c r="P825" s="9">
        <f t="shared" si="762"/>
        <v>58.095238095238095</v>
      </c>
      <c r="Q825" s="5" t="str" cm="1">
        <f t="array" ref="Q825:R825">_xlfn.TEXTSPLIT(N825,"/")</f>
        <v>music</v>
      </c>
      <c r="R825" t="str">
        <v>rock</v>
      </c>
      <c r="S825" s="10">
        <f t="shared" ref="S825:T825" si="831">(((J825/60)/60)/24)+DATE(1970,1,1)</f>
        <v>41892.208333333336</v>
      </c>
      <c r="T825" s="10">
        <f t="shared" si="831"/>
        <v>41917.208333333336</v>
      </c>
    </row>
    <row r="826" spans="1:20" ht="15.75" customHeight="1" x14ac:dyDescent="0.25">
      <c r="A826" s="5">
        <v>824</v>
      </c>
      <c r="B826" s="6" t="s">
        <v>1689</v>
      </c>
      <c r="C826" s="7" t="s">
        <v>1690</v>
      </c>
      <c r="D826" s="5">
        <v>85000</v>
      </c>
      <c r="E826" s="5">
        <v>107516</v>
      </c>
      <c r="F826" s="5" t="s">
        <v>28</v>
      </c>
      <c r="G826" s="5">
        <v>1280</v>
      </c>
      <c r="H826" s="5" t="s">
        <v>29</v>
      </c>
      <c r="I826" s="5" t="s">
        <v>30</v>
      </c>
      <c r="J826" s="5">
        <v>1276923600</v>
      </c>
      <c r="K826" s="5">
        <v>1279688400</v>
      </c>
      <c r="L826" s="5" t="b">
        <v>0</v>
      </c>
      <c r="M826" s="5" t="b">
        <v>1</v>
      </c>
      <c r="N826" s="5" t="s">
        <v>76</v>
      </c>
      <c r="O826" s="8">
        <f t="shared" si="772"/>
        <v>1.2648941176470587</v>
      </c>
      <c r="P826" s="9">
        <f t="shared" si="762"/>
        <v>83.996875000000003</v>
      </c>
      <c r="Q826" s="5" t="str" cm="1">
        <f t="array" ref="Q826:R826">_xlfn.TEXTSPLIT(N826,"/")</f>
        <v>publishing</v>
      </c>
      <c r="R826" t="str">
        <v>nonfiction</v>
      </c>
      <c r="S826" s="10">
        <f t="shared" ref="S826:T826" si="832">(((J826/60)/60)/24)+DATE(1970,1,1)</f>
        <v>40348.208333333336</v>
      </c>
      <c r="T826" s="10">
        <f t="shared" si="832"/>
        <v>40380.208333333336</v>
      </c>
    </row>
    <row r="827" spans="1:20" ht="15.75" customHeight="1" x14ac:dyDescent="0.25">
      <c r="A827" s="5">
        <v>825</v>
      </c>
      <c r="B827" s="6" t="s">
        <v>1691</v>
      </c>
      <c r="C827" s="7" t="s">
        <v>1692</v>
      </c>
      <c r="D827" s="5">
        <v>3600</v>
      </c>
      <c r="E827" s="5">
        <v>13950</v>
      </c>
      <c r="F827" s="5" t="s">
        <v>28</v>
      </c>
      <c r="G827" s="5">
        <v>157</v>
      </c>
      <c r="H827" s="5" t="s">
        <v>48</v>
      </c>
      <c r="I827" s="5" t="s">
        <v>49</v>
      </c>
      <c r="J827" s="5">
        <v>1500958800</v>
      </c>
      <c r="K827" s="5">
        <v>1501995600</v>
      </c>
      <c r="L827" s="5" t="b">
        <v>0</v>
      </c>
      <c r="M827" s="5" t="b">
        <v>0</v>
      </c>
      <c r="N827" s="5" t="s">
        <v>108</v>
      </c>
      <c r="O827" s="8">
        <f t="shared" si="772"/>
        <v>3.875</v>
      </c>
      <c r="P827" s="9">
        <f t="shared" si="762"/>
        <v>88.853503184713375</v>
      </c>
      <c r="Q827" s="5" t="str" cm="1">
        <f t="array" ref="Q827:R827">_xlfn.TEXTSPLIT(N827,"/")</f>
        <v>film &amp; video</v>
      </c>
      <c r="R827" t="str">
        <v>shorts</v>
      </c>
      <c r="S827" s="10">
        <f t="shared" ref="S827:T827" si="833">(((J827/60)/60)/24)+DATE(1970,1,1)</f>
        <v>42941.208333333328</v>
      </c>
      <c r="T827" s="10">
        <f t="shared" si="833"/>
        <v>42953.208333333328</v>
      </c>
    </row>
    <row r="828" spans="1:20" ht="15.75" customHeight="1" x14ac:dyDescent="0.25">
      <c r="A828" s="5">
        <v>826</v>
      </c>
      <c r="B828" s="6" t="s">
        <v>1693</v>
      </c>
      <c r="C828" s="7" t="s">
        <v>1694</v>
      </c>
      <c r="D828" s="5">
        <v>2800</v>
      </c>
      <c r="E828" s="5">
        <v>12797</v>
      </c>
      <c r="F828" s="5" t="s">
        <v>28</v>
      </c>
      <c r="G828" s="5">
        <v>194</v>
      </c>
      <c r="H828" s="5" t="s">
        <v>29</v>
      </c>
      <c r="I828" s="5" t="s">
        <v>30</v>
      </c>
      <c r="J828" s="5">
        <v>1292220000</v>
      </c>
      <c r="K828" s="5">
        <v>1294639200</v>
      </c>
      <c r="L828" s="5" t="b">
        <v>0</v>
      </c>
      <c r="M828" s="5" t="b">
        <v>1</v>
      </c>
      <c r="N828" s="5" t="s">
        <v>41</v>
      </c>
      <c r="O828" s="8">
        <f t="shared" si="772"/>
        <v>4.5703571428571426</v>
      </c>
      <c r="P828" s="9">
        <f t="shared" si="762"/>
        <v>65.963917525773198</v>
      </c>
      <c r="Q828" s="5" t="str" cm="1">
        <f t="array" ref="Q828:R828">_xlfn.TEXTSPLIT(N828,"/")</f>
        <v>theater</v>
      </c>
      <c r="R828" t="str">
        <v>plays</v>
      </c>
      <c r="S828" s="10">
        <f t="shared" ref="S828:T828" si="834">(((J828/60)/60)/24)+DATE(1970,1,1)</f>
        <v>40525.25</v>
      </c>
      <c r="T828" s="10">
        <f t="shared" si="834"/>
        <v>40553.25</v>
      </c>
    </row>
    <row r="829" spans="1:20" ht="15.75" customHeight="1" x14ac:dyDescent="0.25">
      <c r="A829" s="5">
        <v>827</v>
      </c>
      <c r="B829" s="6" t="s">
        <v>1695</v>
      </c>
      <c r="C829" s="7" t="s">
        <v>1696</v>
      </c>
      <c r="D829" s="5">
        <v>2300</v>
      </c>
      <c r="E829" s="5">
        <v>6134</v>
      </c>
      <c r="F829" s="5" t="s">
        <v>28</v>
      </c>
      <c r="G829" s="5">
        <v>82</v>
      </c>
      <c r="H829" s="5" t="s">
        <v>34</v>
      </c>
      <c r="I829" s="5" t="s">
        <v>35</v>
      </c>
      <c r="J829" s="5">
        <v>1304398800</v>
      </c>
      <c r="K829" s="5">
        <v>1305435600</v>
      </c>
      <c r="L829" s="5" t="b">
        <v>0</v>
      </c>
      <c r="M829" s="5" t="b">
        <v>1</v>
      </c>
      <c r="N829" s="5" t="s">
        <v>61</v>
      </c>
      <c r="O829" s="8">
        <f t="shared" si="772"/>
        <v>2.6669565217391304</v>
      </c>
      <c r="P829" s="9">
        <f t="shared" si="762"/>
        <v>74.804878048780495</v>
      </c>
      <c r="Q829" s="5" t="str" cm="1">
        <f t="array" ref="Q829:R829">_xlfn.TEXTSPLIT(N829,"/")</f>
        <v>film &amp; video</v>
      </c>
      <c r="R829" t="str">
        <v>drama</v>
      </c>
      <c r="S829" s="10">
        <f t="shared" ref="S829:T829" si="835">(((J829/60)/60)/24)+DATE(1970,1,1)</f>
        <v>40666.208333333336</v>
      </c>
      <c r="T829" s="10">
        <f t="shared" si="835"/>
        <v>40678.208333333336</v>
      </c>
    </row>
    <row r="830" spans="1:20" ht="15.75" customHeight="1" x14ac:dyDescent="0.25">
      <c r="A830" s="5">
        <v>828</v>
      </c>
      <c r="B830" s="6" t="s">
        <v>1697</v>
      </c>
      <c r="C830" s="7" t="s">
        <v>1698</v>
      </c>
      <c r="D830" s="5">
        <v>7100</v>
      </c>
      <c r="E830" s="5">
        <v>4899</v>
      </c>
      <c r="F830" s="5" t="s">
        <v>22</v>
      </c>
      <c r="G830" s="5">
        <v>70</v>
      </c>
      <c r="H830" s="5" t="s">
        <v>29</v>
      </c>
      <c r="I830" s="5" t="s">
        <v>30</v>
      </c>
      <c r="J830" s="5">
        <v>1535432400</v>
      </c>
      <c r="K830" s="5">
        <v>1537592400</v>
      </c>
      <c r="L830" s="5" t="b">
        <v>0</v>
      </c>
      <c r="M830" s="5" t="b">
        <v>0</v>
      </c>
      <c r="N830" s="5" t="s">
        <v>41</v>
      </c>
      <c r="O830" s="8">
        <f t="shared" si="772"/>
        <v>0.69</v>
      </c>
      <c r="P830" s="9">
        <f t="shared" si="762"/>
        <v>69.98571428571428</v>
      </c>
      <c r="Q830" s="5" t="str" cm="1">
        <f t="array" ref="Q830:R830">_xlfn.TEXTSPLIT(N830,"/")</f>
        <v>theater</v>
      </c>
      <c r="R830" t="str">
        <v>plays</v>
      </c>
      <c r="S830" s="10">
        <f t="shared" ref="S830:T830" si="836">(((J830/60)/60)/24)+DATE(1970,1,1)</f>
        <v>43340.208333333328</v>
      </c>
      <c r="T830" s="10">
        <f t="shared" si="836"/>
        <v>43365.208333333328</v>
      </c>
    </row>
    <row r="831" spans="1:20" ht="15.75" customHeight="1" x14ac:dyDescent="0.25">
      <c r="A831" s="5">
        <v>829</v>
      </c>
      <c r="B831" s="6" t="s">
        <v>1699</v>
      </c>
      <c r="C831" s="7" t="s">
        <v>1700</v>
      </c>
      <c r="D831" s="5">
        <v>9600</v>
      </c>
      <c r="E831" s="5">
        <v>4929</v>
      </c>
      <c r="F831" s="5" t="s">
        <v>22</v>
      </c>
      <c r="G831" s="5">
        <v>154</v>
      </c>
      <c r="H831" s="5" t="s">
        <v>29</v>
      </c>
      <c r="I831" s="5" t="s">
        <v>30</v>
      </c>
      <c r="J831" s="5">
        <v>1433826000</v>
      </c>
      <c r="K831" s="5">
        <v>1435122000</v>
      </c>
      <c r="L831" s="5" t="b">
        <v>0</v>
      </c>
      <c r="M831" s="5" t="b">
        <v>0</v>
      </c>
      <c r="N831" s="5" t="s">
        <v>41</v>
      </c>
      <c r="O831" s="8">
        <f t="shared" si="772"/>
        <v>0.51343749999999999</v>
      </c>
      <c r="P831" s="9">
        <f t="shared" si="762"/>
        <v>32.006493506493506</v>
      </c>
      <c r="Q831" s="5" t="str" cm="1">
        <f t="array" ref="Q831:R831">_xlfn.TEXTSPLIT(N831,"/")</f>
        <v>theater</v>
      </c>
      <c r="R831" t="str">
        <v>plays</v>
      </c>
      <c r="S831" s="10">
        <f t="shared" ref="S831:T831" si="837">(((J831/60)/60)/24)+DATE(1970,1,1)</f>
        <v>42164.208333333328</v>
      </c>
      <c r="T831" s="10">
        <f t="shared" si="837"/>
        <v>42179.208333333328</v>
      </c>
    </row>
    <row r="832" spans="1:20" ht="15.75" customHeight="1" x14ac:dyDescent="0.25">
      <c r="A832" s="5">
        <v>830</v>
      </c>
      <c r="B832" s="6" t="s">
        <v>1701</v>
      </c>
      <c r="C832" s="7" t="s">
        <v>1702</v>
      </c>
      <c r="D832" s="5">
        <v>121600</v>
      </c>
      <c r="E832" s="5">
        <v>1424</v>
      </c>
      <c r="F832" s="5" t="s">
        <v>22</v>
      </c>
      <c r="G832" s="5">
        <v>22</v>
      </c>
      <c r="H832" s="5" t="s">
        <v>29</v>
      </c>
      <c r="I832" s="5" t="s">
        <v>30</v>
      </c>
      <c r="J832" s="5">
        <v>1514959200</v>
      </c>
      <c r="K832" s="5">
        <v>1520056800</v>
      </c>
      <c r="L832" s="5" t="b">
        <v>0</v>
      </c>
      <c r="M832" s="5" t="b">
        <v>0</v>
      </c>
      <c r="N832" s="5" t="s">
        <v>41</v>
      </c>
      <c r="O832" s="8">
        <f t="shared" si="772"/>
        <v>1.1710526315789473E-2</v>
      </c>
      <c r="P832" s="9">
        <f t="shared" si="762"/>
        <v>64.727272727272734</v>
      </c>
      <c r="Q832" s="5" t="str" cm="1">
        <f t="array" ref="Q832:R832">_xlfn.TEXTSPLIT(N832,"/")</f>
        <v>theater</v>
      </c>
      <c r="R832" t="str">
        <v>plays</v>
      </c>
      <c r="S832" s="10">
        <f t="shared" ref="S832:T832" si="838">(((J832/60)/60)/24)+DATE(1970,1,1)</f>
        <v>43103.25</v>
      </c>
      <c r="T832" s="10">
        <f t="shared" si="838"/>
        <v>43162.25</v>
      </c>
    </row>
    <row r="833" spans="1:20" ht="15.75" customHeight="1" x14ac:dyDescent="0.25">
      <c r="A833" s="5">
        <v>831</v>
      </c>
      <c r="B833" s="6" t="s">
        <v>1703</v>
      </c>
      <c r="C833" s="7" t="s">
        <v>1704</v>
      </c>
      <c r="D833" s="5">
        <v>97100</v>
      </c>
      <c r="E833" s="5">
        <v>105817</v>
      </c>
      <c r="F833" s="5" t="s">
        <v>28</v>
      </c>
      <c r="G833" s="5">
        <v>4233</v>
      </c>
      <c r="H833" s="5" t="s">
        <v>29</v>
      </c>
      <c r="I833" s="5" t="s">
        <v>30</v>
      </c>
      <c r="J833" s="5">
        <v>1332738000</v>
      </c>
      <c r="K833" s="5">
        <v>1335675600</v>
      </c>
      <c r="L833" s="5" t="b">
        <v>0</v>
      </c>
      <c r="M833" s="5" t="b">
        <v>0</v>
      </c>
      <c r="N833" s="5" t="s">
        <v>130</v>
      </c>
      <c r="O833" s="8">
        <f t="shared" si="772"/>
        <v>1.089773429454171</v>
      </c>
      <c r="P833" s="9">
        <f t="shared" si="762"/>
        <v>24.998110087408456</v>
      </c>
      <c r="Q833" s="5" t="str" cm="1">
        <f t="array" ref="Q833:R833">_xlfn.TEXTSPLIT(N833,"/")</f>
        <v>photography</v>
      </c>
      <c r="R833" t="str">
        <v>photography books</v>
      </c>
      <c r="S833" s="10">
        <f t="shared" ref="S833:T833" si="839">(((J833/60)/60)/24)+DATE(1970,1,1)</f>
        <v>40994.208333333336</v>
      </c>
      <c r="T833" s="10">
        <f t="shared" si="839"/>
        <v>41028.208333333336</v>
      </c>
    </row>
    <row r="834" spans="1:20" ht="15.75" customHeight="1" x14ac:dyDescent="0.25">
      <c r="A834" s="5">
        <v>832</v>
      </c>
      <c r="B834" s="6" t="s">
        <v>1705</v>
      </c>
      <c r="C834" s="7" t="s">
        <v>1706</v>
      </c>
      <c r="D834" s="5">
        <v>43200</v>
      </c>
      <c r="E834" s="5">
        <v>136156</v>
      </c>
      <c r="F834" s="5" t="s">
        <v>28</v>
      </c>
      <c r="G834" s="5">
        <v>1297</v>
      </c>
      <c r="H834" s="5" t="s">
        <v>44</v>
      </c>
      <c r="I834" s="5" t="s">
        <v>45</v>
      </c>
      <c r="J834" s="5">
        <v>1445490000</v>
      </c>
      <c r="K834" s="5">
        <v>1448431200</v>
      </c>
      <c r="L834" s="5" t="b">
        <v>1</v>
      </c>
      <c r="M834" s="5" t="b">
        <v>0</v>
      </c>
      <c r="N834" s="5" t="s">
        <v>214</v>
      </c>
      <c r="O834" s="8">
        <f t="shared" si="772"/>
        <v>3.1517592592592591</v>
      </c>
      <c r="P834" s="9">
        <f t="shared" si="762"/>
        <v>104.97764070932922</v>
      </c>
      <c r="Q834" s="5" t="str" cm="1">
        <f t="array" ref="Q834:R834">_xlfn.TEXTSPLIT(N834,"/")</f>
        <v>publishing</v>
      </c>
      <c r="R834" t="str">
        <v>translations</v>
      </c>
      <c r="S834" s="10">
        <f t="shared" ref="S834:T834" si="840">(((J834/60)/60)/24)+DATE(1970,1,1)</f>
        <v>42299.208333333328</v>
      </c>
      <c r="T834" s="10">
        <f t="shared" si="840"/>
        <v>42333.25</v>
      </c>
    </row>
    <row r="835" spans="1:20" ht="15.75" customHeight="1" x14ac:dyDescent="0.25">
      <c r="A835" s="5">
        <v>833</v>
      </c>
      <c r="B835" s="6" t="s">
        <v>1707</v>
      </c>
      <c r="C835" s="7" t="s">
        <v>1708</v>
      </c>
      <c r="D835" s="5">
        <v>6800</v>
      </c>
      <c r="E835" s="5">
        <v>10723</v>
      </c>
      <c r="F835" s="5" t="s">
        <v>28</v>
      </c>
      <c r="G835" s="5">
        <v>165</v>
      </c>
      <c r="H835" s="5" t="s">
        <v>44</v>
      </c>
      <c r="I835" s="5" t="s">
        <v>45</v>
      </c>
      <c r="J835" s="5">
        <v>1297663200</v>
      </c>
      <c r="K835" s="5">
        <v>1298613600</v>
      </c>
      <c r="L835" s="5" t="b">
        <v>0</v>
      </c>
      <c r="M835" s="5" t="b">
        <v>0</v>
      </c>
      <c r="N835" s="5" t="s">
        <v>214</v>
      </c>
      <c r="O835" s="8">
        <f t="shared" si="772"/>
        <v>1.5769117647058823</v>
      </c>
      <c r="P835" s="9">
        <f t="shared" si="762"/>
        <v>64.987878787878785</v>
      </c>
      <c r="Q835" s="5" t="str" cm="1">
        <f t="array" ref="Q835:R835">_xlfn.TEXTSPLIT(N835,"/")</f>
        <v>publishing</v>
      </c>
      <c r="R835" t="str">
        <v>translations</v>
      </c>
      <c r="S835" s="10">
        <f t="shared" ref="S835:T835" si="841">(((J835/60)/60)/24)+DATE(1970,1,1)</f>
        <v>40588.25</v>
      </c>
      <c r="T835" s="10">
        <f t="shared" si="841"/>
        <v>40599.25</v>
      </c>
    </row>
    <row r="836" spans="1:20" ht="15.75" customHeight="1" x14ac:dyDescent="0.25">
      <c r="A836" s="5">
        <v>834</v>
      </c>
      <c r="B836" s="6" t="s">
        <v>1709</v>
      </c>
      <c r="C836" s="7" t="s">
        <v>1710</v>
      </c>
      <c r="D836" s="5">
        <v>7300</v>
      </c>
      <c r="E836" s="5">
        <v>11228</v>
      </c>
      <c r="F836" s="5" t="s">
        <v>28</v>
      </c>
      <c r="G836" s="5">
        <v>119</v>
      </c>
      <c r="H836" s="5" t="s">
        <v>29</v>
      </c>
      <c r="I836" s="5" t="s">
        <v>30</v>
      </c>
      <c r="J836" s="5">
        <v>1371963600</v>
      </c>
      <c r="K836" s="5">
        <v>1372482000</v>
      </c>
      <c r="L836" s="5" t="b">
        <v>0</v>
      </c>
      <c r="M836" s="5" t="b">
        <v>0</v>
      </c>
      <c r="N836" s="5" t="s">
        <v>41</v>
      </c>
      <c r="O836" s="8">
        <f t="shared" si="772"/>
        <v>1.5380821917808218</v>
      </c>
      <c r="P836" s="9">
        <f t="shared" si="762"/>
        <v>94.352941176470594</v>
      </c>
      <c r="Q836" s="5" t="str" cm="1">
        <f t="array" ref="Q836:R836">_xlfn.TEXTSPLIT(N836,"/")</f>
        <v>theater</v>
      </c>
      <c r="R836" t="str">
        <v>plays</v>
      </c>
      <c r="S836" s="10">
        <f t="shared" ref="S836:T836" si="842">(((J836/60)/60)/24)+DATE(1970,1,1)</f>
        <v>41448.208333333336</v>
      </c>
      <c r="T836" s="10">
        <f t="shared" si="842"/>
        <v>41454.208333333336</v>
      </c>
    </row>
    <row r="837" spans="1:20" ht="15.75" customHeight="1" x14ac:dyDescent="0.25">
      <c r="A837" s="5">
        <v>835</v>
      </c>
      <c r="B837" s="6" t="s">
        <v>1711</v>
      </c>
      <c r="C837" s="7" t="s">
        <v>1712</v>
      </c>
      <c r="D837" s="5">
        <v>86200</v>
      </c>
      <c r="E837" s="5">
        <v>77355</v>
      </c>
      <c r="F837" s="5" t="s">
        <v>22</v>
      </c>
      <c r="G837" s="5">
        <v>1758</v>
      </c>
      <c r="H837" s="5" t="s">
        <v>29</v>
      </c>
      <c r="I837" s="5" t="s">
        <v>30</v>
      </c>
      <c r="J837" s="5">
        <v>1425103200</v>
      </c>
      <c r="K837" s="5">
        <v>1425621600</v>
      </c>
      <c r="L837" s="5" t="b">
        <v>0</v>
      </c>
      <c r="M837" s="5" t="b">
        <v>0</v>
      </c>
      <c r="N837" s="5" t="s">
        <v>36</v>
      </c>
      <c r="O837" s="8">
        <f t="shared" si="772"/>
        <v>0.89738979118329465</v>
      </c>
      <c r="P837" s="9">
        <f t="shared" si="762"/>
        <v>44.001706484641637</v>
      </c>
      <c r="Q837" s="5" t="str" cm="1">
        <f t="array" ref="Q837:R837">_xlfn.TEXTSPLIT(N837,"/")</f>
        <v>technology</v>
      </c>
      <c r="R837" t="str">
        <v>web</v>
      </c>
      <c r="S837" s="10">
        <f t="shared" ref="S837:T837" si="843">(((J837/60)/60)/24)+DATE(1970,1,1)</f>
        <v>42063.25</v>
      </c>
      <c r="T837" s="10">
        <f t="shared" si="843"/>
        <v>42069.25</v>
      </c>
    </row>
    <row r="838" spans="1:20" ht="15.75" customHeight="1" x14ac:dyDescent="0.25">
      <c r="A838" s="5">
        <v>836</v>
      </c>
      <c r="B838" s="6" t="s">
        <v>1713</v>
      </c>
      <c r="C838" s="7" t="s">
        <v>1714</v>
      </c>
      <c r="D838" s="5">
        <v>8100</v>
      </c>
      <c r="E838" s="5">
        <v>6086</v>
      </c>
      <c r="F838" s="5" t="s">
        <v>22</v>
      </c>
      <c r="G838" s="5">
        <v>94</v>
      </c>
      <c r="H838" s="5" t="s">
        <v>29</v>
      </c>
      <c r="I838" s="5" t="s">
        <v>30</v>
      </c>
      <c r="J838" s="5">
        <v>1265349600</v>
      </c>
      <c r="K838" s="5">
        <v>1266300000</v>
      </c>
      <c r="L838" s="5" t="b">
        <v>0</v>
      </c>
      <c r="M838" s="5" t="b">
        <v>0</v>
      </c>
      <c r="N838" s="5" t="s">
        <v>68</v>
      </c>
      <c r="O838" s="8">
        <f t="shared" si="772"/>
        <v>0.75135802469135804</v>
      </c>
      <c r="P838" s="9">
        <f t="shared" si="762"/>
        <v>64.744680851063833</v>
      </c>
      <c r="Q838" s="5" t="str" cm="1">
        <f t="array" ref="Q838:R838">_xlfn.TEXTSPLIT(N838,"/")</f>
        <v>music</v>
      </c>
      <c r="R838" t="str">
        <v>indie rock</v>
      </c>
      <c r="S838" s="10">
        <f t="shared" ref="S838:T838" si="844">(((J838/60)/60)/24)+DATE(1970,1,1)</f>
        <v>40214.25</v>
      </c>
      <c r="T838" s="10">
        <f t="shared" si="844"/>
        <v>40225.25</v>
      </c>
    </row>
    <row r="839" spans="1:20" ht="15.75" customHeight="1" x14ac:dyDescent="0.25">
      <c r="A839" s="5">
        <v>837</v>
      </c>
      <c r="B839" s="6" t="s">
        <v>1715</v>
      </c>
      <c r="C839" s="7" t="s">
        <v>1716</v>
      </c>
      <c r="D839" s="5">
        <v>17700</v>
      </c>
      <c r="E839" s="5">
        <v>150960</v>
      </c>
      <c r="F839" s="5" t="s">
        <v>28</v>
      </c>
      <c r="G839" s="5">
        <v>1797</v>
      </c>
      <c r="H839" s="5" t="s">
        <v>29</v>
      </c>
      <c r="I839" s="5" t="s">
        <v>30</v>
      </c>
      <c r="J839" s="5">
        <v>1301202000</v>
      </c>
      <c r="K839" s="5">
        <v>1305867600</v>
      </c>
      <c r="L839" s="5" t="b">
        <v>0</v>
      </c>
      <c r="M839" s="5" t="b">
        <v>0</v>
      </c>
      <c r="N839" s="5" t="s">
        <v>167</v>
      </c>
      <c r="O839" s="8">
        <f t="shared" si="772"/>
        <v>8.5288135593220336</v>
      </c>
      <c r="P839" s="9">
        <f t="shared" si="762"/>
        <v>84.00667779632721</v>
      </c>
      <c r="Q839" s="5" t="str" cm="1">
        <f t="array" ref="Q839:R839">_xlfn.TEXTSPLIT(N839,"/")</f>
        <v>music</v>
      </c>
      <c r="R839" t="str">
        <v>jazz</v>
      </c>
      <c r="S839" s="10">
        <f t="shared" ref="S839:T839" si="845">(((J839/60)/60)/24)+DATE(1970,1,1)</f>
        <v>40629.208333333336</v>
      </c>
      <c r="T839" s="10">
        <f t="shared" si="845"/>
        <v>40683.208333333336</v>
      </c>
    </row>
    <row r="840" spans="1:20" ht="15.75" customHeight="1" x14ac:dyDescent="0.25">
      <c r="A840" s="5">
        <v>838</v>
      </c>
      <c r="B840" s="6" t="s">
        <v>1717</v>
      </c>
      <c r="C840" s="7" t="s">
        <v>1718</v>
      </c>
      <c r="D840" s="5">
        <v>6400</v>
      </c>
      <c r="E840" s="5">
        <v>8890</v>
      </c>
      <c r="F840" s="5" t="s">
        <v>28</v>
      </c>
      <c r="G840" s="5">
        <v>261</v>
      </c>
      <c r="H840" s="5" t="s">
        <v>29</v>
      </c>
      <c r="I840" s="5" t="s">
        <v>30</v>
      </c>
      <c r="J840" s="5">
        <v>1538024400</v>
      </c>
      <c r="K840" s="5">
        <v>1538802000</v>
      </c>
      <c r="L840" s="5" t="b">
        <v>0</v>
      </c>
      <c r="M840" s="5" t="b">
        <v>0</v>
      </c>
      <c r="N840" s="5" t="s">
        <v>41</v>
      </c>
      <c r="O840" s="8">
        <f t="shared" si="772"/>
        <v>1.3890625000000001</v>
      </c>
      <c r="P840" s="9">
        <f t="shared" si="762"/>
        <v>34.061302681992338</v>
      </c>
      <c r="Q840" s="5" t="str" cm="1">
        <f t="array" ref="Q840:R840">_xlfn.TEXTSPLIT(N840,"/")</f>
        <v>theater</v>
      </c>
      <c r="R840" t="str">
        <v>plays</v>
      </c>
      <c r="S840" s="10">
        <f t="shared" ref="S840:T840" si="846">(((J840/60)/60)/24)+DATE(1970,1,1)</f>
        <v>43370.208333333328</v>
      </c>
      <c r="T840" s="10">
        <f t="shared" si="846"/>
        <v>43379.208333333328</v>
      </c>
    </row>
    <row r="841" spans="1:20" ht="15.75" customHeight="1" x14ac:dyDescent="0.25">
      <c r="A841" s="5">
        <v>839</v>
      </c>
      <c r="B841" s="6" t="s">
        <v>1719</v>
      </c>
      <c r="C841" s="7" t="s">
        <v>1720</v>
      </c>
      <c r="D841" s="5">
        <v>7700</v>
      </c>
      <c r="E841" s="5">
        <v>14644</v>
      </c>
      <c r="F841" s="5" t="s">
        <v>28</v>
      </c>
      <c r="G841" s="5">
        <v>157</v>
      </c>
      <c r="H841" s="5" t="s">
        <v>29</v>
      </c>
      <c r="I841" s="5" t="s">
        <v>30</v>
      </c>
      <c r="J841" s="5">
        <v>1395032400</v>
      </c>
      <c r="K841" s="5">
        <v>1398920400</v>
      </c>
      <c r="L841" s="5" t="b">
        <v>0</v>
      </c>
      <c r="M841" s="5" t="b">
        <v>1</v>
      </c>
      <c r="N841" s="5" t="s">
        <v>50</v>
      </c>
      <c r="O841" s="8">
        <f t="shared" si="772"/>
        <v>1.9018181818181819</v>
      </c>
      <c r="P841" s="9">
        <f t="shared" si="762"/>
        <v>93.273885350318466</v>
      </c>
      <c r="Q841" s="5" t="str" cm="1">
        <f t="array" ref="Q841:R841">_xlfn.TEXTSPLIT(N841,"/")</f>
        <v>film &amp; video</v>
      </c>
      <c r="R841" t="str">
        <v>documentary</v>
      </c>
      <c r="S841" s="10">
        <f t="shared" ref="S841:T841" si="847">(((J841/60)/60)/24)+DATE(1970,1,1)</f>
        <v>41715.208333333336</v>
      </c>
      <c r="T841" s="10">
        <f t="shared" si="847"/>
        <v>41760.208333333336</v>
      </c>
    </row>
    <row r="842" spans="1:20" ht="15.75" customHeight="1" x14ac:dyDescent="0.25">
      <c r="A842" s="5">
        <v>840</v>
      </c>
      <c r="B842" s="6" t="s">
        <v>1721</v>
      </c>
      <c r="C842" s="7" t="s">
        <v>1722</v>
      </c>
      <c r="D842" s="5">
        <v>116300</v>
      </c>
      <c r="E842" s="5">
        <v>116583</v>
      </c>
      <c r="F842" s="5" t="s">
        <v>28</v>
      </c>
      <c r="G842" s="5">
        <v>3533</v>
      </c>
      <c r="H842" s="5" t="s">
        <v>29</v>
      </c>
      <c r="I842" s="5" t="s">
        <v>30</v>
      </c>
      <c r="J842" s="5">
        <v>1405486800</v>
      </c>
      <c r="K842" s="5">
        <v>1405659600</v>
      </c>
      <c r="L842" s="5" t="b">
        <v>0</v>
      </c>
      <c r="M842" s="5" t="b">
        <v>1</v>
      </c>
      <c r="N842" s="5" t="s">
        <v>41</v>
      </c>
      <c r="O842" s="8">
        <f t="shared" si="772"/>
        <v>1.0024333619948409</v>
      </c>
      <c r="P842" s="9">
        <f t="shared" si="762"/>
        <v>32.998301726577978</v>
      </c>
      <c r="Q842" s="5" t="str" cm="1">
        <f t="array" ref="Q842:R842">_xlfn.TEXTSPLIT(N842,"/")</f>
        <v>theater</v>
      </c>
      <c r="R842" t="str">
        <v>plays</v>
      </c>
      <c r="S842" s="10">
        <f t="shared" ref="S842:T842" si="848">(((J842/60)/60)/24)+DATE(1970,1,1)</f>
        <v>41836.208333333336</v>
      </c>
      <c r="T842" s="10">
        <f t="shared" si="848"/>
        <v>41838.208333333336</v>
      </c>
    </row>
    <row r="843" spans="1:20" ht="15.75" customHeight="1" x14ac:dyDescent="0.25">
      <c r="A843" s="5">
        <v>841</v>
      </c>
      <c r="B843" s="6" t="s">
        <v>1723</v>
      </c>
      <c r="C843" s="7" t="s">
        <v>1724</v>
      </c>
      <c r="D843" s="5">
        <v>9100</v>
      </c>
      <c r="E843" s="5">
        <v>12991</v>
      </c>
      <c r="F843" s="5" t="s">
        <v>28</v>
      </c>
      <c r="G843" s="5">
        <v>155</v>
      </c>
      <c r="H843" s="5" t="s">
        <v>29</v>
      </c>
      <c r="I843" s="5" t="s">
        <v>30</v>
      </c>
      <c r="J843" s="5">
        <v>1455861600</v>
      </c>
      <c r="K843" s="5">
        <v>1457244000</v>
      </c>
      <c r="L843" s="5" t="b">
        <v>0</v>
      </c>
      <c r="M843" s="5" t="b">
        <v>0</v>
      </c>
      <c r="N843" s="5" t="s">
        <v>36</v>
      </c>
      <c r="O843" s="8">
        <f t="shared" si="772"/>
        <v>1.4275824175824177</v>
      </c>
      <c r="P843" s="9">
        <f t="shared" si="762"/>
        <v>83.812903225806451</v>
      </c>
      <c r="Q843" s="5" t="str" cm="1">
        <f t="array" ref="Q843:R843">_xlfn.TEXTSPLIT(N843,"/")</f>
        <v>technology</v>
      </c>
      <c r="R843" t="str">
        <v>web</v>
      </c>
      <c r="S843" s="10">
        <f t="shared" ref="S843:T843" si="849">(((J843/60)/60)/24)+DATE(1970,1,1)</f>
        <v>42419.25</v>
      </c>
      <c r="T843" s="10">
        <f t="shared" si="849"/>
        <v>42435.25</v>
      </c>
    </row>
    <row r="844" spans="1:20" ht="15.75" customHeight="1" x14ac:dyDescent="0.25">
      <c r="A844" s="5">
        <v>842</v>
      </c>
      <c r="B844" s="6" t="s">
        <v>1725</v>
      </c>
      <c r="C844" s="7" t="s">
        <v>1726</v>
      </c>
      <c r="D844" s="5">
        <v>1500</v>
      </c>
      <c r="E844" s="5">
        <v>8447</v>
      </c>
      <c r="F844" s="5" t="s">
        <v>28</v>
      </c>
      <c r="G844" s="5">
        <v>132</v>
      </c>
      <c r="H844" s="5" t="s">
        <v>115</v>
      </c>
      <c r="I844" s="5" t="s">
        <v>116</v>
      </c>
      <c r="J844" s="5">
        <v>1529038800</v>
      </c>
      <c r="K844" s="5">
        <v>1529298000</v>
      </c>
      <c r="L844" s="5" t="b">
        <v>0</v>
      </c>
      <c r="M844" s="5" t="b">
        <v>0</v>
      </c>
      <c r="N844" s="5" t="s">
        <v>73</v>
      </c>
      <c r="O844" s="8">
        <f t="shared" si="772"/>
        <v>5.6313333333333331</v>
      </c>
      <c r="P844" s="9">
        <f t="shared" si="762"/>
        <v>63.992424242424242</v>
      </c>
      <c r="Q844" s="5" t="str" cm="1">
        <f t="array" ref="Q844:R844">_xlfn.TEXTSPLIT(N844,"/")</f>
        <v>technology</v>
      </c>
      <c r="R844" t="str">
        <v>wearables</v>
      </c>
      <c r="S844" s="10">
        <f t="shared" ref="S844:T844" si="850">(((J844/60)/60)/24)+DATE(1970,1,1)</f>
        <v>43266.208333333328</v>
      </c>
      <c r="T844" s="10">
        <f t="shared" si="850"/>
        <v>43269.208333333328</v>
      </c>
    </row>
    <row r="845" spans="1:20" ht="15.75" customHeight="1" x14ac:dyDescent="0.25">
      <c r="A845" s="5">
        <v>843</v>
      </c>
      <c r="B845" s="6" t="s">
        <v>1727</v>
      </c>
      <c r="C845" s="7" t="s">
        <v>1728</v>
      </c>
      <c r="D845" s="5">
        <v>8800</v>
      </c>
      <c r="E845" s="5">
        <v>2703</v>
      </c>
      <c r="F845" s="5" t="s">
        <v>22</v>
      </c>
      <c r="G845" s="5">
        <v>33</v>
      </c>
      <c r="H845" s="5" t="s">
        <v>29</v>
      </c>
      <c r="I845" s="5" t="s">
        <v>30</v>
      </c>
      <c r="J845" s="5">
        <v>1535259600</v>
      </c>
      <c r="K845" s="5">
        <v>1535778000</v>
      </c>
      <c r="L845" s="5" t="b">
        <v>0</v>
      </c>
      <c r="M845" s="5" t="b">
        <v>0</v>
      </c>
      <c r="N845" s="5" t="s">
        <v>130</v>
      </c>
      <c r="O845" s="8">
        <f t="shared" si="772"/>
        <v>0.30715909090909088</v>
      </c>
      <c r="P845" s="9">
        <f t="shared" si="762"/>
        <v>81.909090909090907</v>
      </c>
      <c r="Q845" s="5" t="str" cm="1">
        <f t="array" ref="Q845:R845">_xlfn.TEXTSPLIT(N845,"/")</f>
        <v>photography</v>
      </c>
      <c r="R845" t="str">
        <v>photography books</v>
      </c>
      <c r="S845" s="10">
        <f t="shared" ref="S845:T845" si="851">(((J845/60)/60)/24)+DATE(1970,1,1)</f>
        <v>43338.208333333328</v>
      </c>
      <c r="T845" s="10">
        <f t="shared" si="851"/>
        <v>43344.208333333328</v>
      </c>
    </row>
    <row r="846" spans="1:20" ht="15.75" customHeight="1" x14ac:dyDescent="0.25">
      <c r="A846" s="5">
        <v>844</v>
      </c>
      <c r="B846" s="6" t="s">
        <v>1729</v>
      </c>
      <c r="C846" s="7" t="s">
        <v>1730</v>
      </c>
      <c r="D846" s="5">
        <v>8800</v>
      </c>
      <c r="E846" s="5">
        <v>8747</v>
      </c>
      <c r="F846" s="5" t="s">
        <v>82</v>
      </c>
      <c r="G846" s="5">
        <v>94</v>
      </c>
      <c r="H846" s="5" t="s">
        <v>29</v>
      </c>
      <c r="I846" s="5" t="s">
        <v>30</v>
      </c>
      <c r="J846" s="5">
        <v>1327212000</v>
      </c>
      <c r="K846" s="5">
        <v>1327471200</v>
      </c>
      <c r="L846" s="5" t="b">
        <v>0</v>
      </c>
      <c r="M846" s="5" t="b">
        <v>0</v>
      </c>
      <c r="N846" s="5" t="s">
        <v>50</v>
      </c>
      <c r="O846" s="8">
        <f t="shared" si="772"/>
        <v>0.99397727272727276</v>
      </c>
      <c r="P846" s="9">
        <f t="shared" si="762"/>
        <v>93.053191489361708</v>
      </c>
      <c r="Q846" s="5" t="str" cm="1">
        <f t="array" ref="Q846:R846">_xlfn.TEXTSPLIT(N846,"/")</f>
        <v>film &amp; video</v>
      </c>
      <c r="R846" t="str">
        <v>documentary</v>
      </c>
      <c r="S846" s="10">
        <f t="shared" ref="S846:T846" si="852">(((J846/60)/60)/24)+DATE(1970,1,1)</f>
        <v>40930.25</v>
      </c>
      <c r="T846" s="10">
        <f t="shared" si="852"/>
        <v>40933.25</v>
      </c>
    </row>
    <row r="847" spans="1:20" ht="15.75" customHeight="1" x14ac:dyDescent="0.25">
      <c r="A847" s="5">
        <v>845</v>
      </c>
      <c r="B847" s="6" t="s">
        <v>1731</v>
      </c>
      <c r="C847" s="7" t="s">
        <v>1732</v>
      </c>
      <c r="D847" s="5">
        <v>69900</v>
      </c>
      <c r="E847" s="5">
        <v>138087</v>
      </c>
      <c r="F847" s="5" t="s">
        <v>28</v>
      </c>
      <c r="G847" s="5">
        <v>1354</v>
      </c>
      <c r="H847" s="5" t="s">
        <v>48</v>
      </c>
      <c r="I847" s="5" t="s">
        <v>49</v>
      </c>
      <c r="J847" s="5">
        <v>1526360400</v>
      </c>
      <c r="K847" s="5">
        <v>1529557200</v>
      </c>
      <c r="L847" s="5" t="b">
        <v>0</v>
      </c>
      <c r="M847" s="5" t="b">
        <v>0</v>
      </c>
      <c r="N847" s="5" t="s">
        <v>36</v>
      </c>
      <c r="O847" s="8">
        <f t="shared" si="772"/>
        <v>1.9754935622317598</v>
      </c>
      <c r="P847" s="9">
        <f t="shared" si="762"/>
        <v>101.98449039881831</v>
      </c>
      <c r="Q847" s="5" t="str" cm="1">
        <f t="array" ref="Q847:R847">_xlfn.TEXTSPLIT(N847,"/")</f>
        <v>technology</v>
      </c>
      <c r="R847" t="str">
        <v>web</v>
      </c>
      <c r="S847" s="10">
        <f t="shared" ref="S847:T847" si="853">(((J847/60)/60)/24)+DATE(1970,1,1)</f>
        <v>43235.208333333328</v>
      </c>
      <c r="T847" s="10">
        <f t="shared" si="853"/>
        <v>43272.208333333328</v>
      </c>
    </row>
    <row r="848" spans="1:20" ht="15.75" customHeight="1" x14ac:dyDescent="0.25">
      <c r="A848" s="5">
        <v>846</v>
      </c>
      <c r="B848" s="6" t="s">
        <v>1733</v>
      </c>
      <c r="C848" s="7" t="s">
        <v>1734</v>
      </c>
      <c r="D848" s="5">
        <v>1000</v>
      </c>
      <c r="E848" s="5">
        <v>5085</v>
      </c>
      <c r="F848" s="5" t="s">
        <v>28</v>
      </c>
      <c r="G848" s="5">
        <v>48</v>
      </c>
      <c r="H848" s="5" t="s">
        <v>29</v>
      </c>
      <c r="I848" s="5" t="s">
        <v>30</v>
      </c>
      <c r="J848" s="5">
        <v>1532149200</v>
      </c>
      <c r="K848" s="5">
        <v>1535259600</v>
      </c>
      <c r="L848" s="5" t="b">
        <v>1</v>
      </c>
      <c r="M848" s="5" t="b">
        <v>1</v>
      </c>
      <c r="N848" s="5" t="s">
        <v>36</v>
      </c>
      <c r="O848" s="8">
        <f t="shared" si="772"/>
        <v>5.085</v>
      </c>
      <c r="P848" s="9">
        <f t="shared" si="762"/>
        <v>105.9375</v>
      </c>
      <c r="Q848" s="5" t="str" cm="1">
        <f t="array" ref="Q848:R848">_xlfn.TEXTSPLIT(N848,"/")</f>
        <v>technology</v>
      </c>
      <c r="R848" t="str">
        <v>web</v>
      </c>
      <c r="S848" s="10">
        <f t="shared" ref="S848:T848" si="854">(((J848/60)/60)/24)+DATE(1970,1,1)</f>
        <v>43302.208333333328</v>
      </c>
      <c r="T848" s="10">
        <f t="shared" si="854"/>
        <v>43338.208333333328</v>
      </c>
    </row>
    <row r="849" spans="1:20" ht="15.75" customHeight="1" x14ac:dyDescent="0.25">
      <c r="A849" s="5">
        <v>847</v>
      </c>
      <c r="B849" s="6" t="s">
        <v>1735</v>
      </c>
      <c r="C849" s="7" t="s">
        <v>1736</v>
      </c>
      <c r="D849" s="5">
        <v>4700</v>
      </c>
      <c r="E849" s="5">
        <v>11174</v>
      </c>
      <c r="F849" s="5" t="s">
        <v>28</v>
      </c>
      <c r="G849" s="5">
        <v>110</v>
      </c>
      <c r="H849" s="5" t="s">
        <v>29</v>
      </c>
      <c r="I849" s="5" t="s">
        <v>30</v>
      </c>
      <c r="J849" s="5">
        <v>1515304800</v>
      </c>
      <c r="K849" s="5">
        <v>1515564000</v>
      </c>
      <c r="L849" s="5" t="b">
        <v>0</v>
      </c>
      <c r="M849" s="5" t="b">
        <v>0</v>
      </c>
      <c r="N849" s="5" t="s">
        <v>25</v>
      </c>
      <c r="O849" s="8">
        <f t="shared" si="772"/>
        <v>2.3774468085106384</v>
      </c>
      <c r="P849" s="9">
        <f t="shared" si="762"/>
        <v>101.58181818181818</v>
      </c>
      <c r="Q849" s="5" t="str" cm="1">
        <f t="array" ref="Q849:R849">_xlfn.TEXTSPLIT(N849,"/")</f>
        <v>food</v>
      </c>
      <c r="R849" t="str">
        <v>food trucks</v>
      </c>
      <c r="S849" s="10">
        <f t="shared" ref="S849:T849" si="855">(((J849/60)/60)/24)+DATE(1970,1,1)</f>
        <v>43107.25</v>
      </c>
      <c r="T849" s="10">
        <f t="shared" si="855"/>
        <v>43110.25</v>
      </c>
    </row>
    <row r="850" spans="1:20" ht="15.75" customHeight="1" x14ac:dyDescent="0.25">
      <c r="A850" s="5">
        <v>848</v>
      </c>
      <c r="B850" s="6" t="s">
        <v>1737</v>
      </c>
      <c r="C850" s="7" t="s">
        <v>1738</v>
      </c>
      <c r="D850" s="5">
        <v>3200</v>
      </c>
      <c r="E850" s="5">
        <v>10831</v>
      </c>
      <c r="F850" s="5" t="s">
        <v>28</v>
      </c>
      <c r="G850" s="5">
        <v>172</v>
      </c>
      <c r="H850" s="5" t="s">
        <v>29</v>
      </c>
      <c r="I850" s="5" t="s">
        <v>30</v>
      </c>
      <c r="J850" s="5">
        <v>1276318800</v>
      </c>
      <c r="K850" s="5">
        <v>1277096400</v>
      </c>
      <c r="L850" s="5" t="b">
        <v>0</v>
      </c>
      <c r="M850" s="5" t="b">
        <v>0</v>
      </c>
      <c r="N850" s="5" t="s">
        <v>61</v>
      </c>
      <c r="O850" s="8">
        <f t="shared" si="772"/>
        <v>3.3846875000000001</v>
      </c>
      <c r="P850" s="9">
        <f t="shared" si="762"/>
        <v>62.970930232558139</v>
      </c>
      <c r="Q850" s="5" t="str" cm="1">
        <f t="array" ref="Q850:R850">_xlfn.TEXTSPLIT(N850,"/")</f>
        <v>film &amp; video</v>
      </c>
      <c r="R850" t="str">
        <v>drama</v>
      </c>
      <c r="S850" s="10">
        <f t="shared" ref="S850:T850" si="856">(((J850/60)/60)/24)+DATE(1970,1,1)</f>
        <v>40341.208333333336</v>
      </c>
      <c r="T850" s="10">
        <f t="shared" si="856"/>
        <v>40350.208333333336</v>
      </c>
    </row>
    <row r="851" spans="1:20" ht="15.75" customHeight="1" x14ac:dyDescent="0.25">
      <c r="A851" s="5">
        <v>849</v>
      </c>
      <c r="B851" s="6" t="s">
        <v>1739</v>
      </c>
      <c r="C851" s="7" t="s">
        <v>1740</v>
      </c>
      <c r="D851" s="5">
        <v>6700</v>
      </c>
      <c r="E851" s="5">
        <v>8917</v>
      </c>
      <c r="F851" s="5" t="s">
        <v>28</v>
      </c>
      <c r="G851" s="5">
        <v>307</v>
      </c>
      <c r="H851" s="5" t="s">
        <v>29</v>
      </c>
      <c r="I851" s="5" t="s">
        <v>30</v>
      </c>
      <c r="J851" s="5">
        <v>1328767200</v>
      </c>
      <c r="K851" s="5">
        <v>1329026400</v>
      </c>
      <c r="L851" s="5" t="b">
        <v>0</v>
      </c>
      <c r="M851" s="5" t="b">
        <v>1</v>
      </c>
      <c r="N851" s="5" t="s">
        <v>68</v>
      </c>
      <c r="O851" s="8">
        <f t="shared" si="772"/>
        <v>1.3308955223880596</v>
      </c>
      <c r="P851" s="9">
        <f t="shared" si="762"/>
        <v>29.045602605863191</v>
      </c>
      <c r="Q851" s="5" t="str" cm="1">
        <f t="array" ref="Q851:R851">_xlfn.TEXTSPLIT(N851,"/")</f>
        <v>music</v>
      </c>
      <c r="R851" t="str">
        <v>indie rock</v>
      </c>
      <c r="S851" s="10">
        <f t="shared" ref="S851:T851" si="857">(((J851/60)/60)/24)+DATE(1970,1,1)</f>
        <v>40948.25</v>
      </c>
      <c r="T851" s="10">
        <f t="shared" si="857"/>
        <v>40951.25</v>
      </c>
    </row>
    <row r="852" spans="1:20" ht="15.75" customHeight="1" x14ac:dyDescent="0.25">
      <c r="A852" s="5">
        <v>850</v>
      </c>
      <c r="B852" s="6" t="s">
        <v>1741</v>
      </c>
      <c r="C852" s="7" t="s">
        <v>1742</v>
      </c>
      <c r="D852" s="5">
        <v>100</v>
      </c>
      <c r="E852" s="5">
        <v>1</v>
      </c>
      <c r="F852" s="5" t="s">
        <v>22</v>
      </c>
      <c r="G852" s="5">
        <v>1</v>
      </c>
      <c r="H852" s="5" t="s">
        <v>29</v>
      </c>
      <c r="I852" s="5" t="s">
        <v>30</v>
      </c>
      <c r="J852" s="5">
        <v>1321682400</v>
      </c>
      <c r="K852" s="5">
        <v>1322978400</v>
      </c>
      <c r="L852" s="5" t="b">
        <v>1</v>
      </c>
      <c r="M852" s="5" t="b">
        <v>0</v>
      </c>
      <c r="N852" s="5" t="s">
        <v>31</v>
      </c>
      <c r="O852" s="8">
        <f t="shared" si="772"/>
        <v>0.01</v>
      </c>
      <c r="P852" s="9">
        <f t="shared" si="762"/>
        <v>1</v>
      </c>
      <c r="Q852" s="5" t="str" cm="1">
        <f t="array" ref="Q852:R852">_xlfn.TEXTSPLIT(N852,"/")</f>
        <v>music</v>
      </c>
      <c r="R852" t="str">
        <v>rock</v>
      </c>
      <c r="S852" s="10">
        <f t="shared" ref="S852:T852" si="858">(((J852/60)/60)/24)+DATE(1970,1,1)</f>
        <v>40866.25</v>
      </c>
      <c r="T852" s="10">
        <f t="shared" si="858"/>
        <v>40881.25</v>
      </c>
    </row>
    <row r="853" spans="1:20" ht="15.75" customHeight="1" x14ac:dyDescent="0.25">
      <c r="A853" s="5">
        <v>851</v>
      </c>
      <c r="B853" s="6" t="s">
        <v>1743</v>
      </c>
      <c r="C853" s="7" t="s">
        <v>1744</v>
      </c>
      <c r="D853" s="5">
        <v>6000</v>
      </c>
      <c r="E853" s="5">
        <v>12468</v>
      </c>
      <c r="F853" s="5" t="s">
        <v>28</v>
      </c>
      <c r="G853" s="5">
        <v>160</v>
      </c>
      <c r="H853" s="5" t="s">
        <v>29</v>
      </c>
      <c r="I853" s="5" t="s">
        <v>30</v>
      </c>
      <c r="J853" s="5">
        <v>1335934800</v>
      </c>
      <c r="K853" s="5">
        <v>1338786000</v>
      </c>
      <c r="L853" s="5" t="b">
        <v>0</v>
      </c>
      <c r="M853" s="5" t="b">
        <v>0</v>
      </c>
      <c r="N853" s="5" t="s">
        <v>58</v>
      </c>
      <c r="O853" s="8">
        <f t="shared" si="772"/>
        <v>2.0779999999999998</v>
      </c>
      <c r="P853" s="9">
        <f t="shared" si="762"/>
        <v>77.924999999999997</v>
      </c>
      <c r="Q853" s="5" t="str" cm="1">
        <f t="array" ref="Q853:R853">_xlfn.TEXTSPLIT(N853,"/")</f>
        <v>music</v>
      </c>
      <c r="R853" t="str">
        <v>electric music</v>
      </c>
      <c r="S853" s="10">
        <f t="shared" ref="S853:T853" si="859">(((J853/60)/60)/24)+DATE(1970,1,1)</f>
        <v>41031.208333333336</v>
      </c>
      <c r="T853" s="10">
        <f t="shared" si="859"/>
        <v>41064.208333333336</v>
      </c>
    </row>
    <row r="854" spans="1:20" ht="15.75" customHeight="1" x14ac:dyDescent="0.25">
      <c r="A854" s="5">
        <v>852</v>
      </c>
      <c r="B854" s="6" t="s">
        <v>1745</v>
      </c>
      <c r="C854" s="7" t="s">
        <v>1746</v>
      </c>
      <c r="D854" s="5">
        <v>4900</v>
      </c>
      <c r="E854" s="5">
        <v>2505</v>
      </c>
      <c r="F854" s="5" t="s">
        <v>22</v>
      </c>
      <c r="G854" s="5">
        <v>31</v>
      </c>
      <c r="H854" s="5" t="s">
        <v>29</v>
      </c>
      <c r="I854" s="5" t="s">
        <v>30</v>
      </c>
      <c r="J854" s="5">
        <v>1310792400</v>
      </c>
      <c r="K854" s="5">
        <v>1311656400</v>
      </c>
      <c r="L854" s="5" t="b">
        <v>0</v>
      </c>
      <c r="M854" s="5" t="b">
        <v>1</v>
      </c>
      <c r="N854" s="5" t="s">
        <v>97</v>
      </c>
      <c r="O854" s="8">
        <f t="shared" si="772"/>
        <v>0.51122448979591839</v>
      </c>
      <c r="P854" s="9">
        <f t="shared" si="762"/>
        <v>80.806451612903231</v>
      </c>
      <c r="Q854" s="5" t="str" cm="1">
        <f t="array" ref="Q854:R854">_xlfn.TEXTSPLIT(N854,"/")</f>
        <v>games</v>
      </c>
      <c r="R854" t="str">
        <v>video games</v>
      </c>
      <c r="S854" s="10">
        <f t="shared" ref="S854:T854" si="860">(((J854/60)/60)/24)+DATE(1970,1,1)</f>
        <v>40740.208333333336</v>
      </c>
      <c r="T854" s="10">
        <f t="shared" si="860"/>
        <v>40750.208333333336</v>
      </c>
    </row>
    <row r="855" spans="1:20" ht="15.75" customHeight="1" x14ac:dyDescent="0.25">
      <c r="A855" s="5">
        <v>853</v>
      </c>
      <c r="B855" s="6" t="s">
        <v>1747</v>
      </c>
      <c r="C855" s="7" t="s">
        <v>1748</v>
      </c>
      <c r="D855" s="5">
        <v>17100</v>
      </c>
      <c r="E855" s="5">
        <v>111502</v>
      </c>
      <c r="F855" s="5" t="s">
        <v>28</v>
      </c>
      <c r="G855" s="5">
        <v>1467</v>
      </c>
      <c r="H855" s="5" t="s">
        <v>23</v>
      </c>
      <c r="I855" s="5" t="s">
        <v>24</v>
      </c>
      <c r="J855" s="5">
        <v>1308546000</v>
      </c>
      <c r="K855" s="5">
        <v>1308978000</v>
      </c>
      <c r="L855" s="5" t="b">
        <v>0</v>
      </c>
      <c r="M855" s="5" t="b">
        <v>1</v>
      </c>
      <c r="N855" s="5" t="s">
        <v>68</v>
      </c>
      <c r="O855" s="8">
        <f t="shared" si="772"/>
        <v>6.5205847953216374</v>
      </c>
      <c r="P855" s="9">
        <f t="shared" si="762"/>
        <v>76.006816632583508</v>
      </c>
      <c r="Q855" s="5" t="str" cm="1">
        <f t="array" ref="Q855:R855">_xlfn.TEXTSPLIT(N855,"/")</f>
        <v>music</v>
      </c>
      <c r="R855" t="str">
        <v>indie rock</v>
      </c>
      <c r="S855" s="10">
        <f t="shared" ref="S855:T855" si="861">(((J855/60)/60)/24)+DATE(1970,1,1)</f>
        <v>40714.208333333336</v>
      </c>
      <c r="T855" s="10">
        <f t="shared" si="861"/>
        <v>40719.208333333336</v>
      </c>
    </row>
    <row r="856" spans="1:20" ht="15.75" customHeight="1" x14ac:dyDescent="0.25">
      <c r="A856" s="5">
        <v>854</v>
      </c>
      <c r="B856" s="6" t="s">
        <v>1749</v>
      </c>
      <c r="C856" s="7" t="s">
        <v>1750</v>
      </c>
      <c r="D856" s="5">
        <v>171000</v>
      </c>
      <c r="E856" s="5">
        <v>194309</v>
      </c>
      <c r="F856" s="5" t="s">
        <v>28</v>
      </c>
      <c r="G856" s="5">
        <v>2662</v>
      </c>
      <c r="H856" s="5" t="s">
        <v>23</v>
      </c>
      <c r="I856" s="5" t="s">
        <v>24</v>
      </c>
      <c r="J856" s="5">
        <v>1574056800</v>
      </c>
      <c r="K856" s="5">
        <v>1576389600</v>
      </c>
      <c r="L856" s="5" t="b">
        <v>0</v>
      </c>
      <c r="M856" s="5" t="b">
        <v>0</v>
      </c>
      <c r="N856" s="5" t="s">
        <v>127</v>
      </c>
      <c r="O856" s="8">
        <f t="shared" si="772"/>
        <v>1.1363099415204678</v>
      </c>
      <c r="P856" s="9">
        <f t="shared" si="762"/>
        <v>72.993613824192337</v>
      </c>
      <c r="Q856" s="5" t="str" cm="1">
        <f t="array" ref="Q856:R856">_xlfn.TEXTSPLIT(N856,"/")</f>
        <v>publishing</v>
      </c>
      <c r="R856" t="str">
        <v>fiction</v>
      </c>
      <c r="S856" s="10">
        <f t="shared" ref="S856:T856" si="862">(((J856/60)/60)/24)+DATE(1970,1,1)</f>
        <v>43787.25</v>
      </c>
      <c r="T856" s="10">
        <f t="shared" si="862"/>
        <v>43814.25</v>
      </c>
    </row>
    <row r="857" spans="1:20" ht="15.75" customHeight="1" x14ac:dyDescent="0.25">
      <c r="A857" s="5">
        <v>855</v>
      </c>
      <c r="B857" s="6" t="s">
        <v>1751</v>
      </c>
      <c r="C857" s="7" t="s">
        <v>1752</v>
      </c>
      <c r="D857" s="5">
        <v>23400</v>
      </c>
      <c r="E857" s="5">
        <v>23956</v>
      </c>
      <c r="F857" s="5" t="s">
        <v>28</v>
      </c>
      <c r="G857" s="5">
        <v>452</v>
      </c>
      <c r="H857" s="5" t="s">
        <v>34</v>
      </c>
      <c r="I857" s="5" t="s">
        <v>35</v>
      </c>
      <c r="J857" s="5">
        <v>1308373200</v>
      </c>
      <c r="K857" s="5">
        <v>1311051600</v>
      </c>
      <c r="L857" s="5" t="b">
        <v>0</v>
      </c>
      <c r="M857" s="5" t="b">
        <v>0</v>
      </c>
      <c r="N857" s="5" t="s">
        <v>41</v>
      </c>
      <c r="O857" s="8">
        <f t="shared" si="772"/>
        <v>1.0237606837606839</v>
      </c>
      <c r="P857" s="9">
        <f t="shared" si="762"/>
        <v>53</v>
      </c>
      <c r="Q857" s="5" t="str" cm="1">
        <f t="array" ref="Q857:R857">_xlfn.TEXTSPLIT(N857,"/")</f>
        <v>theater</v>
      </c>
      <c r="R857" t="str">
        <v>plays</v>
      </c>
      <c r="S857" s="10">
        <f t="shared" ref="S857:T857" si="863">(((J857/60)/60)/24)+DATE(1970,1,1)</f>
        <v>40712.208333333336</v>
      </c>
      <c r="T857" s="10">
        <f t="shared" si="863"/>
        <v>40743.208333333336</v>
      </c>
    </row>
    <row r="858" spans="1:20" ht="15.75" customHeight="1" x14ac:dyDescent="0.25">
      <c r="A858" s="5">
        <v>856</v>
      </c>
      <c r="B858" s="6" t="s">
        <v>1607</v>
      </c>
      <c r="C858" s="7" t="s">
        <v>1753</v>
      </c>
      <c r="D858" s="5">
        <v>2400</v>
      </c>
      <c r="E858" s="5">
        <v>8558</v>
      </c>
      <c r="F858" s="5" t="s">
        <v>28</v>
      </c>
      <c r="G858" s="5">
        <v>158</v>
      </c>
      <c r="H858" s="5" t="s">
        <v>29</v>
      </c>
      <c r="I858" s="5" t="s">
        <v>30</v>
      </c>
      <c r="J858" s="5">
        <v>1335243600</v>
      </c>
      <c r="K858" s="5">
        <v>1336712400</v>
      </c>
      <c r="L858" s="5" t="b">
        <v>0</v>
      </c>
      <c r="M858" s="5" t="b">
        <v>0</v>
      </c>
      <c r="N858" s="5" t="s">
        <v>25</v>
      </c>
      <c r="O858" s="8">
        <f t="shared" si="772"/>
        <v>3.5658333333333334</v>
      </c>
      <c r="P858" s="9">
        <f t="shared" si="762"/>
        <v>54.164556962025316</v>
      </c>
      <c r="Q858" s="5" t="str" cm="1">
        <f t="array" ref="Q858:R858">_xlfn.TEXTSPLIT(N858,"/")</f>
        <v>food</v>
      </c>
      <c r="R858" t="str">
        <v>food trucks</v>
      </c>
      <c r="S858" s="10">
        <f t="shared" ref="S858:T858" si="864">(((J858/60)/60)/24)+DATE(1970,1,1)</f>
        <v>41023.208333333336</v>
      </c>
      <c r="T858" s="10">
        <f t="shared" si="864"/>
        <v>41040.208333333336</v>
      </c>
    </row>
    <row r="859" spans="1:20" ht="15.75" customHeight="1" x14ac:dyDescent="0.25">
      <c r="A859" s="5">
        <v>857</v>
      </c>
      <c r="B859" s="6" t="s">
        <v>1754</v>
      </c>
      <c r="C859" s="7" t="s">
        <v>1755</v>
      </c>
      <c r="D859" s="5">
        <v>5300</v>
      </c>
      <c r="E859" s="5">
        <v>7413</v>
      </c>
      <c r="F859" s="5" t="s">
        <v>28</v>
      </c>
      <c r="G859" s="5">
        <v>225</v>
      </c>
      <c r="H859" s="5" t="s">
        <v>106</v>
      </c>
      <c r="I859" s="5" t="s">
        <v>107</v>
      </c>
      <c r="J859" s="5">
        <v>1328421600</v>
      </c>
      <c r="K859" s="5">
        <v>1330408800</v>
      </c>
      <c r="L859" s="5" t="b">
        <v>1</v>
      </c>
      <c r="M859" s="5" t="b">
        <v>0</v>
      </c>
      <c r="N859" s="5" t="s">
        <v>108</v>
      </c>
      <c r="O859" s="8">
        <f t="shared" si="772"/>
        <v>1.3986792452830188</v>
      </c>
      <c r="P859" s="9">
        <f t="shared" si="762"/>
        <v>32.946666666666665</v>
      </c>
      <c r="Q859" s="5" t="str" cm="1">
        <f t="array" ref="Q859:R859">_xlfn.TEXTSPLIT(N859,"/")</f>
        <v>film &amp; video</v>
      </c>
      <c r="R859" t="str">
        <v>shorts</v>
      </c>
      <c r="S859" s="10">
        <f t="shared" ref="S859:T859" si="865">(((J859/60)/60)/24)+DATE(1970,1,1)</f>
        <v>40944.25</v>
      </c>
      <c r="T859" s="10">
        <f t="shared" si="865"/>
        <v>40967.25</v>
      </c>
    </row>
    <row r="860" spans="1:20" ht="15.75" customHeight="1" x14ac:dyDescent="0.25">
      <c r="A860" s="5">
        <v>858</v>
      </c>
      <c r="B860" s="6" t="s">
        <v>1756</v>
      </c>
      <c r="C860" s="7" t="s">
        <v>1757</v>
      </c>
      <c r="D860" s="5">
        <v>4000</v>
      </c>
      <c r="E860" s="5">
        <v>2778</v>
      </c>
      <c r="F860" s="5" t="s">
        <v>22</v>
      </c>
      <c r="G860" s="5">
        <v>35</v>
      </c>
      <c r="H860" s="5" t="s">
        <v>29</v>
      </c>
      <c r="I860" s="5" t="s">
        <v>30</v>
      </c>
      <c r="J860" s="5">
        <v>1524286800</v>
      </c>
      <c r="K860" s="5">
        <v>1524891600</v>
      </c>
      <c r="L860" s="5" t="b">
        <v>1</v>
      </c>
      <c r="M860" s="5" t="b">
        <v>0</v>
      </c>
      <c r="N860" s="5" t="s">
        <v>25</v>
      </c>
      <c r="O860" s="8">
        <f t="shared" si="772"/>
        <v>0.69450000000000001</v>
      </c>
      <c r="P860" s="9">
        <f t="shared" si="762"/>
        <v>79.371428571428567</v>
      </c>
      <c r="Q860" s="5" t="str" cm="1">
        <f t="array" ref="Q860:R860">_xlfn.TEXTSPLIT(N860,"/")</f>
        <v>food</v>
      </c>
      <c r="R860" t="str">
        <v>food trucks</v>
      </c>
      <c r="S860" s="10">
        <f t="shared" ref="S860:T860" si="866">(((J860/60)/60)/24)+DATE(1970,1,1)</f>
        <v>43211.208333333328</v>
      </c>
      <c r="T860" s="10">
        <f t="shared" si="866"/>
        <v>43218.208333333328</v>
      </c>
    </row>
    <row r="861" spans="1:20" ht="15.75" customHeight="1" x14ac:dyDescent="0.25">
      <c r="A861" s="5">
        <v>859</v>
      </c>
      <c r="B861" s="6" t="s">
        <v>1758</v>
      </c>
      <c r="C861" s="7" t="s">
        <v>1759</v>
      </c>
      <c r="D861" s="5">
        <v>7300</v>
      </c>
      <c r="E861" s="5">
        <v>2594</v>
      </c>
      <c r="F861" s="5" t="s">
        <v>22</v>
      </c>
      <c r="G861" s="5">
        <v>63</v>
      </c>
      <c r="H861" s="5" t="s">
        <v>29</v>
      </c>
      <c r="I861" s="5" t="s">
        <v>30</v>
      </c>
      <c r="J861" s="5">
        <v>1362117600</v>
      </c>
      <c r="K861" s="5">
        <v>1363669200</v>
      </c>
      <c r="L861" s="5" t="b">
        <v>0</v>
      </c>
      <c r="M861" s="5" t="b">
        <v>1</v>
      </c>
      <c r="N861" s="5" t="s">
        <v>41</v>
      </c>
      <c r="O861" s="8">
        <f t="shared" si="772"/>
        <v>0.35534246575342465</v>
      </c>
      <c r="P861" s="9">
        <f t="shared" si="762"/>
        <v>41.174603174603178</v>
      </c>
      <c r="Q861" s="5" t="str" cm="1">
        <f t="array" ref="Q861:R861">_xlfn.TEXTSPLIT(N861,"/")</f>
        <v>theater</v>
      </c>
      <c r="R861" t="str">
        <v>plays</v>
      </c>
      <c r="S861" s="10">
        <f t="shared" ref="S861:T861" si="867">(((J861/60)/60)/24)+DATE(1970,1,1)</f>
        <v>41334.25</v>
      </c>
      <c r="T861" s="10">
        <f t="shared" si="867"/>
        <v>41352.208333333336</v>
      </c>
    </row>
    <row r="862" spans="1:20" ht="15.75" customHeight="1" x14ac:dyDescent="0.25">
      <c r="A862" s="5">
        <v>860</v>
      </c>
      <c r="B862" s="6" t="s">
        <v>1760</v>
      </c>
      <c r="C862" s="7" t="s">
        <v>1761</v>
      </c>
      <c r="D862" s="5">
        <v>2000</v>
      </c>
      <c r="E862" s="5">
        <v>5033</v>
      </c>
      <c r="F862" s="5" t="s">
        <v>28</v>
      </c>
      <c r="G862" s="5">
        <v>65</v>
      </c>
      <c r="H862" s="5" t="s">
        <v>29</v>
      </c>
      <c r="I862" s="5" t="s">
        <v>30</v>
      </c>
      <c r="J862" s="5">
        <v>1550556000</v>
      </c>
      <c r="K862" s="5">
        <v>1551420000</v>
      </c>
      <c r="L862" s="5" t="b">
        <v>0</v>
      </c>
      <c r="M862" s="5" t="b">
        <v>1</v>
      </c>
      <c r="N862" s="5" t="s">
        <v>73</v>
      </c>
      <c r="O862" s="8">
        <f t="shared" si="772"/>
        <v>2.5165000000000002</v>
      </c>
      <c r="P862" s="9">
        <f t="shared" si="762"/>
        <v>77.430769230769229</v>
      </c>
      <c r="Q862" s="5" t="str" cm="1">
        <f t="array" ref="Q862:R862">_xlfn.TEXTSPLIT(N862,"/")</f>
        <v>technology</v>
      </c>
      <c r="R862" t="str">
        <v>wearables</v>
      </c>
      <c r="S862" s="10">
        <f t="shared" ref="S862:T862" si="868">(((J862/60)/60)/24)+DATE(1970,1,1)</f>
        <v>43515.25</v>
      </c>
      <c r="T862" s="10">
        <f t="shared" si="868"/>
        <v>43525.25</v>
      </c>
    </row>
    <row r="863" spans="1:20" ht="15.75" customHeight="1" x14ac:dyDescent="0.25">
      <c r="A863" s="5">
        <v>861</v>
      </c>
      <c r="B863" s="6" t="s">
        <v>1762</v>
      </c>
      <c r="C863" s="7" t="s">
        <v>1763</v>
      </c>
      <c r="D863" s="5">
        <v>8800</v>
      </c>
      <c r="E863" s="5">
        <v>9317</v>
      </c>
      <c r="F863" s="5" t="s">
        <v>28</v>
      </c>
      <c r="G863" s="5">
        <v>163</v>
      </c>
      <c r="H863" s="5" t="s">
        <v>29</v>
      </c>
      <c r="I863" s="5" t="s">
        <v>30</v>
      </c>
      <c r="J863" s="5">
        <v>1269147600</v>
      </c>
      <c r="K863" s="5">
        <v>1269838800</v>
      </c>
      <c r="L863" s="5" t="b">
        <v>0</v>
      </c>
      <c r="M863" s="5" t="b">
        <v>0</v>
      </c>
      <c r="N863" s="5" t="s">
        <v>41</v>
      </c>
      <c r="O863" s="8">
        <f t="shared" si="772"/>
        <v>1.0587500000000001</v>
      </c>
      <c r="P863" s="9">
        <f t="shared" si="762"/>
        <v>57.159509202453989</v>
      </c>
      <c r="Q863" s="5" t="str" cm="1">
        <f t="array" ref="Q863:R863">_xlfn.TEXTSPLIT(N863,"/")</f>
        <v>theater</v>
      </c>
      <c r="R863" t="str">
        <v>plays</v>
      </c>
      <c r="S863" s="10">
        <f t="shared" ref="S863:T863" si="869">(((J863/60)/60)/24)+DATE(1970,1,1)</f>
        <v>40258.208333333336</v>
      </c>
      <c r="T863" s="10">
        <f t="shared" si="869"/>
        <v>40266.208333333336</v>
      </c>
    </row>
    <row r="864" spans="1:20" ht="15.75" customHeight="1" x14ac:dyDescent="0.25">
      <c r="A864" s="5">
        <v>862</v>
      </c>
      <c r="B864" s="6" t="s">
        <v>1764</v>
      </c>
      <c r="C864" s="7" t="s">
        <v>1765</v>
      </c>
      <c r="D864" s="5">
        <v>3500</v>
      </c>
      <c r="E864" s="5">
        <v>6560</v>
      </c>
      <c r="F864" s="5" t="s">
        <v>28</v>
      </c>
      <c r="G864" s="5">
        <v>85</v>
      </c>
      <c r="H864" s="5" t="s">
        <v>29</v>
      </c>
      <c r="I864" s="5" t="s">
        <v>30</v>
      </c>
      <c r="J864" s="5">
        <v>1312174800</v>
      </c>
      <c r="K864" s="5">
        <v>1312520400</v>
      </c>
      <c r="L864" s="5" t="b">
        <v>0</v>
      </c>
      <c r="M864" s="5" t="b">
        <v>0</v>
      </c>
      <c r="N864" s="5" t="s">
        <v>41</v>
      </c>
      <c r="O864" s="8">
        <f t="shared" si="772"/>
        <v>1.8742857142857143</v>
      </c>
      <c r="P864" s="9">
        <f t="shared" si="762"/>
        <v>77.17647058823529</v>
      </c>
      <c r="Q864" s="5" t="str" cm="1">
        <f t="array" ref="Q864:R864">_xlfn.TEXTSPLIT(N864,"/")</f>
        <v>theater</v>
      </c>
      <c r="R864" t="str">
        <v>plays</v>
      </c>
      <c r="S864" s="10">
        <f t="shared" ref="S864:T864" si="870">(((J864/60)/60)/24)+DATE(1970,1,1)</f>
        <v>40756.208333333336</v>
      </c>
      <c r="T864" s="10">
        <f t="shared" si="870"/>
        <v>40760.208333333336</v>
      </c>
    </row>
    <row r="865" spans="1:20" ht="15.75" customHeight="1" x14ac:dyDescent="0.25">
      <c r="A865" s="5">
        <v>863</v>
      </c>
      <c r="B865" s="6" t="s">
        <v>1766</v>
      </c>
      <c r="C865" s="7" t="s">
        <v>1767</v>
      </c>
      <c r="D865" s="5">
        <v>1400</v>
      </c>
      <c r="E865" s="5">
        <v>5415</v>
      </c>
      <c r="F865" s="5" t="s">
        <v>28</v>
      </c>
      <c r="G865" s="5">
        <v>217</v>
      </c>
      <c r="H865" s="5" t="s">
        <v>29</v>
      </c>
      <c r="I865" s="5" t="s">
        <v>30</v>
      </c>
      <c r="J865" s="5">
        <v>1434517200</v>
      </c>
      <c r="K865" s="5">
        <v>1436504400</v>
      </c>
      <c r="L865" s="5" t="b">
        <v>0</v>
      </c>
      <c r="M865" s="5" t="b">
        <v>1</v>
      </c>
      <c r="N865" s="5" t="s">
        <v>277</v>
      </c>
      <c r="O865" s="8">
        <f t="shared" si="772"/>
        <v>3.8678571428571429</v>
      </c>
      <c r="P865" s="9">
        <f t="shared" si="762"/>
        <v>24.953917050691246</v>
      </c>
      <c r="Q865" s="5" t="str" cm="1">
        <f t="array" ref="Q865:R865">_xlfn.TEXTSPLIT(N865,"/")</f>
        <v>film &amp; video</v>
      </c>
      <c r="R865" t="str">
        <v>television</v>
      </c>
      <c r="S865" s="10">
        <f t="shared" ref="S865:T865" si="871">(((J865/60)/60)/24)+DATE(1970,1,1)</f>
        <v>42172.208333333328</v>
      </c>
      <c r="T865" s="10">
        <f t="shared" si="871"/>
        <v>42195.208333333328</v>
      </c>
    </row>
    <row r="866" spans="1:20" ht="15.75" customHeight="1" x14ac:dyDescent="0.25">
      <c r="A866" s="5">
        <v>864</v>
      </c>
      <c r="B866" s="6" t="s">
        <v>1768</v>
      </c>
      <c r="C866" s="7" t="s">
        <v>1769</v>
      </c>
      <c r="D866" s="5">
        <v>4200</v>
      </c>
      <c r="E866" s="5">
        <v>14577</v>
      </c>
      <c r="F866" s="5" t="s">
        <v>28</v>
      </c>
      <c r="G866" s="5">
        <v>150</v>
      </c>
      <c r="H866" s="5" t="s">
        <v>29</v>
      </c>
      <c r="I866" s="5" t="s">
        <v>30</v>
      </c>
      <c r="J866" s="5">
        <v>1471582800</v>
      </c>
      <c r="K866" s="5">
        <v>1472014800</v>
      </c>
      <c r="L866" s="5" t="b">
        <v>0</v>
      </c>
      <c r="M866" s="5" t="b">
        <v>0</v>
      </c>
      <c r="N866" s="5" t="s">
        <v>108</v>
      </c>
      <c r="O866" s="8">
        <f t="shared" si="772"/>
        <v>3.4707142857142856</v>
      </c>
      <c r="P866" s="9">
        <f t="shared" si="762"/>
        <v>97.18</v>
      </c>
      <c r="Q866" s="5" t="str" cm="1">
        <f t="array" ref="Q866:R866">_xlfn.TEXTSPLIT(N866,"/")</f>
        <v>film &amp; video</v>
      </c>
      <c r="R866" t="str">
        <v>shorts</v>
      </c>
      <c r="S866" s="10">
        <f t="shared" ref="S866:T866" si="872">(((J866/60)/60)/24)+DATE(1970,1,1)</f>
        <v>42601.208333333328</v>
      </c>
      <c r="T866" s="10">
        <f t="shared" si="872"/>
        <v>42606.208333333328</v>
      </c>
    </row>
    <row r="867" spans="1:20" ht="15.75" customHeight="1" x14ac:dyDescent="0.25">
      <c r="A867" s="5">
        <v>865</v>
      </c>
      <c r="B867" s="6" t="s">
        <v>1770</v>
      </c>
      <c r="C867" s="7" t="s">
        <v>1771</v>
      </c>
      <c r="D867" s="5">
        <v>81000</v>
      </c>
      <c r="E867" s="5">
        <v>150515</v>
      </c>
      <c r="F867" s="5" t="s">
        <v>28</v>
      </c>
      <c r="G867" s="5">
        <v>3272</v>
      </c>
      <c r="H867" s="5" t="s">
        <v>29</v>
      </c>
      <c r="I867" s="5" t="s">
        <v>30</v>
      </c>
      <c r="J867" s="5">
        <v>1410757200</v>
      </c>
      <c r="K867" s="5">
        <v>1411534800</v>
      </c>
      <c r="L867" s="5" t="b">
        <v>0</v>
      </c>
      <c r="M867" s="5" t="b">
        <v>0</v>
      </c>
      <c r="N867" s="5" t="s">
        <v>41</v>
      </c>
      <c r="O867" s="8">
        <f t="shared" si="772"/>
        <v>1.8582098765432098</v>
      </c>
      <c r="P867" s="9">
        <f t="shared" si="762"/>
        <v>46.000916870415651</v>
      </c>
      <c r="Q867" s="5" t="str" cm="1">
        <f t="array" ref="Q867:R867">_xlfn.TEXTSPLIT(N867,"/")</f>
        <v>theater</v>
      </c>
      <c r="R867" t="str">
        <v>plays</v>
      </c>
      <c r="S867" s="10">
        <f t="shared" ref="S867:T867" si="873">(((J867/60)/60)/24)+DATE(1970,1,1)</f>
        <v>41897.208333333336</v>
      </c>
      <c r="T867" s="10">
        <f t="shared" si="873"/>
        <v>41906.208333333336</v>
      </c>
    </row>
    <row r="868" spans="1:20" ht="15.75" customHeight="1" x14ac:dyDescent="0.25">
      <c r="A868" s="5">
        <v>866</v>
      </c>
      <c r="B868" s="6" t="s">
        <v>1772</v>
      </c>
      <c r="C868" s="7" t="s">
        <v>1773</v>
      </c>
      <c r="D868" s="5">
        <v>182800</v>
      </c>
      <c r="E868" s="5">
        <v>79045</v>
      </c>
      <c r="F868" s="5" t="s">
        <v>82</v>
      </c>
      <c r="G868" s="5">
        <v>898</v>
      </c>
      <c r="H868" s="5" t="s">
        <v>29</v>
      </c>
      <c r="I868" s="5" t="s">
        <v>30</v>
      </c>
      <c r="J868" s="5">
        <v>1304830800</v>
      </c>
      <c r="K868" s="5">
        <v>1304917200</v>
      </c>
      <c r="L868" s="5" t="b">
        <v>0</v>
      </c>
      <c r="M868" s="5" t="b">
        <v>0</v>
      </c>
      <c r="N868" s="5" t="s">
        <v>130</v>
      </c>
      <c r="O868" s="8">
        <f t="shared" si="772"/>
        <v>0.43241247264770238</v>
      </c>
      <c r="P868" s="9">
        <f t="shared" si="762"/>
        <v>88.023385300668153</v>
      </c>
      <c r="Q868" s="5" t="str" cm="1">
        <f t="array" ref="Q868:R868">_xlfn.TEXTSPLIT(N868,"/")</f>
        <v>photography</v>
      </c>
      <c r="R868" t="str">
        <v>photography books</v>
      </c>
      <c r="S868" s="10">
        <f t="shared" ref="S868:T868" si="874">(((J868/60)/60)/24)+DATE(1970,1,1)</f>
        <v>40671.208333333336</v>
      </c>
      <c r="T868" s="10">
        <f t="shared" si="874"/>
        <v>40672.208333333336</v>
      </c>
    </row>
    <row r="869" spans="1:20" ht="15.75" customHeight="1" x14ac:dyDescent="0.25">
      <c r="A869" s="5">
        <v>867</v>
      </c>
      <c r="B869" s="6" t="s">
        <v>1774</v>
      </c>
      <c r="C869" s="7" t="s">
        <v>1775</v>
      </c>
      <c r="D869" s="5">
        <v>4800</v>
      </c>
      <c r="E869" s="5">
        <v>7797</v>
      </c>
      <c r="F869" s="5" t="s">
        <v>28</v>
      </c>
      <c r="G869" s="5">
        <v>300</v>
      </c>
      <c r="H869" s="5" t="s">
        <v>29</v>
      </c>
      <c r="I869" s="5" t="s">
        <v>30</v>
      </c>
      <c r="J869" s="5">
        <v>1539061200</v>
      </c>
      <c r="K869" s="5">
        <v>1539579600</v>
      </c>
      <c r="L869" s="5" t="b">
        <v>0</v>
      </c>
      <c r="M869" s="5" t="b">
        <v>0</v>
      </c>
      <c r="N869" s="5" t="s">
        <v>25</v>
      </c>
      <c r="O869" s="8">
        <f t="shared" si="772"/>
        <v>1.6243749999999999</v>
      </c>
      <c r="P869" s="9">
        <f t="shared" si="762"/>
        <v>25.99</v>
      </c>
      <c r="Q869" s="5" t="str" cm="1">
        <f t="array" ref="Q869:R869">_xlfn.TEXTSPLIT(N869,"/")</f>
        <v>food</v>
      </c>
      <c r="R869" t="str">
        <v>food trucks</v>
      </c>
      <c r="S869" s="10">
        <f t="shared" ref="S869:T869" si="875">(((J869/60)/60)/24)+DATE(1970,1,1)</f>
        <v>43382.208333333328</v>
      </c>
      <c r="T869" s="10">
        <f t="shared" si="875"/>
        <v>43388.208333333328</v>
      </c>
    </row>
    <row r="870" spans="1:20" ht="15.75" customHeight="1" x14ac:dyDescent="0.25">
      <c r="A870" s="5">
        <v>868</v>
      </c>
      <c r="B870" s="6" t="s">
        <v>1776</v>
      </c>
      <c r="C870" s="7" t="s">
        <v>1777</v>
      </c>
      <c r="D870" s="5">
        <v>7000</v>
      </c>
      <c r="E870" s="5">
        <v>12939</v>
      </c>
      <c r="F870" s="5" t="s">
        <v>28</v>
      </c>
      <c r="G870" s="5">
        <v>126</v>
      </c>
      <c r="H870" s="5" t="s">
        <v>29</v>
      </c>
      <c r="I870" s="5" t="s">
        <v>30</v>
      </c>
      <c r="J870" s="5">
        <v>1381554000</v>
      </c>
      <c r="K870" s="5">
        <v>1382504400</v>
      </c>
      <c r="L870" s="5" t="b">
        <v>0</v>
      </c>
      <c r="M870" s="5" t="b">
        <v>0</v>
      </c>
      <c r="N870" s="5" t="s">
        <v>41</v>
      </c>
      <c r="O870" s="8">
        <f t="shared" si="772"/>
        <v>1.8484285714285715</v>
      </c>
      <c r="P870" s="9">
        <f t="shared" si="762"/>
        <v>102.69047619047619</v>
      </c>
      <c r="Q870" s="5" t="str" cm="1">
        <f t="array" ref="Q870:R870">_xlfn.TEXTSPLIT(N870,"/")</f>
        <v>theater</v>
      </c>
      <c r="R870" t="str">
        <v>plays</v>
      </c>
      <c r="S870" s="10">
        <f t="shared" ref="S870:T870" si="876">(((J870/60)/60)/24)+DATE(1970,1,1)</f>
        <v>41559.208333333336</v>
      </c>
      <c r="T870" s="10">
        <f t="shared" si="876"/>
        <v>41570.208333333336</v>
      </c>
    </row>
    <row r="871" spans="1:20" ht="15.75" customHeight="1" x14ac:dyDescent="0.25">
      <c r="A871" s="5">
        <v>869</v>
      </c>
      <c r="B871" s="6" t="s">
        <v>1778</v>
      </c>
      <c r="C871" s="7" t="s">
        <v>1779</v>
      </c>
      <c r="D871" s="5">
        <v>161900</v>
      </c>
      <c r="E871" s="5">
        <v>38376</v>
      </c>
      <c r="F871" s="5" t="s">
        <v>22</v>
      </c>
      <c r="G871" s="5">
        <v>526</v>
      </c>
      <c r="H871" s="5" t="s">
        <v>29</v>
      </c>
      <c r="I871" s="5" t="s">
        <v>30</v>
      </c>
      <c r="J871" s="5">
        <v>1277096400</v>
      </c>
      <c r="K871" s="5">
        <v>1278306000</v>
      </c>
      <c r="L871" s="5" t="b">
        <v>0</v>
      </c>
      <c r="M871" s="5" t="b">
        <v>0</v>
      </c>
      <c r="N871" s="5" t="s">
        <v>61</v>
      </c>
      <c r="O871" s="8">
        <f t="shared" si="772"/>
        <v>0.23703520691785052</v>
      </c>
      <c r="P871" s="9">
        <f t="shared" si="762"/>
        <v>72.958174904942965</v>
      </c>
      <c r="Q871" s="5" t="str" cm="1">
        <f t="array" ref="Q871:R871">_xlfn.TEXTSPLIT(N871,"/")</f>
        <v>film &amp; video</v>
      </c>
      <c r="R871" t="str">
        <v>drama</v>
      </c>
      <c r="S871" s="10">
        <f t="shared" ref="S871:T871" si="877">(((J871/60)/60)/24)+DATE(1970,1,1)</f>
        <v>40350.208333333336</v>
      </c>
      <c r="T871" s="10">
        <f t="shared" si="877"/>
        <v>40364.208333333336</v>
      </c>
    </row>
    <row r="872" spans="1:20" ht="15.75" customHeight="1" x14ac:dyDescent="0.25">
      <c r="A872" s="5">
        <v>870</v>
      </c>
      <c r="B872" s="6" t="s">
        <v>1780</v>
      </c>
      <c r="C872" s="7" t="s">
        <v>1781</v>
      </c>
      <c r="D872" s="5">
        <v>7700</v>
      </c>
      <c r="E872" s="5">
        <v>6920</v>
      </c>
      <c r="F872" s="5" t="s">
        <v>22</v>
      </c>
      <c r="G872" s="5">
        <v>121</v>
      </c>
      <c r="H872" s="5" t="s">
        <v>29</v>
      </c>
      <c r="I872" s="5" t="s">
        <v>30</v>
      </c>
      <c r="J872" s="5">
        <v>1440392400</v>
      </c>
      <c r="K872" s="5">
        <v>1442552400</v>
      </c>
      <c r="L872" s="5" t="b">
        <v>0</v>
      </c>
      <c r="M872" s="5" t="b">
        <v>0</v>
      </c>
      <c r="N872" s="5" t="s">
        <v>41</v>
      </c>
      <c r="O872" s="8">
        <f t="shared" si="772"/>
        <v>0.89870129870129867</v>
      </c>
      <c r="P872" s="9">
        <f t="shared" si="762"/>
        <v>57.190082644628099</v>
      </c>
      <c r="Q872" s="5" t="str" cm="1">
        <f t="array" ref="Q872:R872">_xlfn.TEXTSPLIT(N872,"/")</f>
        <v>theater</v>
      </c>
      <c r="R872" t="str">
        <v>plays</v>
      </c>
      <c r="S872" s="10">
        <f t="shared" ref="S872:T872" si="878">(((J872/60)/60)/24)+DATE(1970,1,1)</f>
        <v>42240.208333333328</v>
      </c>
      <c r="T872" s="10">
        <f t="shared" si="878"/>
        <v>42265.208333333328</v>
      </c>
    </row>
    <row r="873" spans="1:20" ht="15.75" customHeight="1" x14ac:dyDescent="0.25">
      <c r="A873" s="5">
        <v>871</v>
      </c>
      <c r="B873" s="6" t="s">
        <v>1782</v>
      </c>
      <c r="C873" s="7" t="s">
        <v>1783</v>
      </c>
      <c r="D873" s="5">
        <v>71500</v>
      </c>
      <c r="E873" s="5">
        <v>194912</v>
      </c>
      <c r="F873" s="5" t="s">
        <v>28</v>
      </c>
      <c r="G873" s="5">
        <v>2320</v>
      </c>
      <c r="H873" s="5" t="s">
        <v>29</v>
      </c>
      <c r="I873" s="5" t="s">
        <v>30</v>
      </c>
      <c r="J873" s="5">
        <v>1509512400</v>
      </c>
      <c r="K873" s="5">
        <v>1511071200</v>
      </c>
      <c r="L873" s="5" t="b">
        <v>0</v>
      </c>
      <c r="M873" s="5" t="b">
        <v>1</v>
      </c>
      <c r="N873" s="5" t="s">
        <v>41</v>
      </c>
      <c r="O873" s="8">
        <f t="shared" si="772"/>
        <v>2.7260419580419581</v>
      </c>
      <c r="P873" s="9">
        <f t="shared" si="762"/>
        <v>84.013793103448279</v>
      </c>
      <c r="Q873" s="5" t="str" cm="1">
        <f t="array" ref="Q873:R873">_xlfn.TEXTSPLIT(N873,"/")</f>
        <v>theater</v>
      </c>
      <c r="R873" t="str">
        <v>plays</v>
      </c>
      <c r="S873" s="10">
        <f t="shared" ref="S873:T873" si="879">(((J873/60)/60)/24)+DATE(1970,1,1)</f>
        <v>43040.208333333328</v>
      </c>
      <c r="T873" s="10">
        <f t="shared" si="879"/>
        <v>43058.25</v>
      </c>
    </row>
    <row r="874" spans="1:20" ht="15.75" customHeight="1" x14ac:dyDescent="0.25">
      <c r="A874" s="5">
        <v>872</v>
      </c>
      <c r="B874" s="6" t="s">
        <v>1784</v>
      </c>
      <c r="C874" s="7" t="s">
        <v>1785</v>
      </c>
      <c r="D874" s="5">
        <v>4700</v>
      </c>
      <c r="E874" s="5">
        <v>7992</v>
      </c>
      <c r="F874" s="5" t="s">
        <v>28</v>
      </c>
      <c r="G874" s="5">
        <v>81</v>
      </c>
      <c r="H874" s="5" t="s">
        <v>34</v>
      </c>
      <c r="I874" s="5" t="s">
        <v>35</v>
      </c>
      <c r="J874" s="5">
        <v>1535950800</v>
      </c>
      <c r="K874" s="5">
        <v>1536382800</v>
      </c>
      <c r="L874" s="5" t="b">
        <v>0</v>
      </c>
      <c r="M874" s="5" t="b">
        <v>0</v>
      </c>
      <c r="N874" s="5" t="s">
        <v>482</v>
      </c>
      <c r="O874" s="8">
        <f t="shared" si="772"/>
        <v>1.7004255319148935</v>
      </c>
      <c r="P874" s="9">
        <f t="shared" si="762"/>
        <v>98.666666666666671</v>
      </c>
      <c r="Q874" s="5" t="str" cm="1">
        <f t="array" ref="Q874:R874">_xlfn.TEXTSPLIT(N874,"/")</f>
        <v>film &amp; video</v>
      </c>
      <c r="R874" t="str">
        <v>science fiction</v>
      </c>
      <c r="S874" s="10">
        <f t="shared" ref="S874:T874" si="880">(((J874/60)/60)/24)+DATE(1970,1,1)</f>
        <v>43346.208333333328</v>
      </c>
      <c r="T874" s="10">
        <f t="shared" si="880"/>
        <v>43351.208333333328</v>
      </c>
    </row>
    <row r="875" spans="1:20" ht="15.75" customHeight="1" x14ac:dyDescent="0.25">
      <c r="A875" s="5">
        <v>873</v>
      </c>
      <c r="B875" s="6" t="s">
        <v>1786</v>
      </c>
      <c r="C875" s="7" t="s">
        <v>1787</v>
      </c>
      <c r="D875" s="5">
        <v>42100</v>
      </c>
      <c r="E875" s="5">
        <v>79268</v>
      </c>
      <c r="F875" s="5" t="s">
        <v>28</v>
      </c>
      <c r="G875" s="5">
        <v>1887</v>
      </c>
      <c r="H875" s="5" t="s">
        <v>29</v>
      </c>
      <c r="I875" s="5" t="s">
        <v>30</v>
      </c>
      <c r="J875" s="5">
        <v>1389160800</v>
      </c>
      <c r="K875" s="5">
        <v>1389592800</v>
      </c>
      <c r="L875" s="5" t="b">
        <v>0</v>
      </c>
      <c r="M875" s="5" t="b">
        <v>0</v>
      </c>
      <c r="N875" s="5" t="s">
        <v>130</v>
      </c>
      <c r="O875" s="8">
        <f t="shared" si="772"/>
        <v>1.8828503562945369</v>
      </c>
      <c r="P875" s="9">
        <f t="shared" si="762"/>
        <v>42.007419183889773</v>
      </c>
      <c r="Q875" s="5" t="str" cm="1">
        <f t="array" ref="Q875:R875">_xlfn.TEXTSPLIT(N875,"/")</f>
        <v>photography</v>
      </c>
      <c r="R875" t="str">
        <v>photography books</v>
      </c>
      <c r="S875" s="10">
        <f t="shared" ref="S875:T875" si="881">(((J875/60)/60)/24)+DATE(1970,1,1)</f>
        <v>41647.25</v>
      </c>
      <c r="T875" s="10">
        <f t="shared" si="881"/>
        <v>41652.25</v>
      </c>
    </row>
    <row r="876" spans="1:20" ht="15.75" customHeight="1" x14ac:dyDescent="0.25">
      <c r="A876" s="5">
        <v>874</v>
      </c>
      <c r="B876" s="6" t="s">
        <v>1788</v>
      </c>
      <c r="C876" s="7" t="s">
        <v>1789</v>
      </c>
      <c r="D876" s="5">
        <v>40200</v>
      </c>
      <c r="E876" s="5">
        <v>139468</v>
      </c>
      <c r="F876" s="5" t="s">
        <v>28</v>
      </c>
      <c r="G876" s="5">
        <v>4358</v>
      </c>
      <c r="H876" s="5" t="s">
        <v>29</v>
      </c>
      <c r="I876" s="5" t="s">
        <v>30</v>
      </c>
      <c r="J876" s="5">
        <v>1271998800</v>
      </c>
      <c r="K876" s="5">
        <v>1275282000</v>
      </c>
      <c r="L876" s="5" t="b">
        <v>0</v>
      </c>
      <c r="M876" s="5" t="b">
        <v>1</v>
      </c>
      <c r="N876" s="5" t="s">
        <v>130</v>
      </c>
      <c r="O876" s="8">
        <f t="shared" si="772"/>
        <v>3.4693532338308457</v>
      </c>
      <c r="P876" s="9">
        <f t="shared" si="762"/>
        <v>32.002753556677376</v>
      </c>
      <c r="Q876" s="5" t="str" cm="1">
        <f t="array" ref="Q876:R876">_xlfn.TEXTSPLIT(N876,"/")</f>
        <v>photography</v>
      </c>
      <c r="R876" t="str">
        <v>photography books</v>
      </c>
      <c r="S876" s="10">
        <f t="shared" ref="S876:T876" si="882">(((J876/60)/60)/24)+DATE(1970,1,1)</f>
        <v>40291.208333333336</v>
      </c>
      <c r="T876" s="10">
        <f t="shared" si="882"/>
        <v>40329.208333333336</v>
      </c>
    </row>
    <row r="877" spans="1:20" ht="15.75" customHeight="1" x14ac:dyDescent="0.25">
      <c r="A877" s="5">
        <v>875</v>
      </c>
      <c r="B877" s="6" t="s">
        <v>1790</v>
      </c>
      <c r="C877" s="7" t="s">
        <v>1791</v>
      </c>
      <c r="D877" s="5">
        <v>7900</v>
      </c>
      <c r="E877" s="5">
        <v>5465</v>
      </c>
      <c r="F877" s="5" t="s">
        <v>22</v>
      </c>
      <c r="G877" s="5">
        <v>67</v>
      </c>
      <c r="H877" s="5" t="s">
        <v>29</v>
      </c>
      <c r="I877" s="5" t="s">
        <v>30</v>
      </c>
      <c r="J877" s="5">
        <v>1294898400</v>
      </c>
      <c r="K877" s="5">
        <v>1294984800</v>
      </c>
      <c r="L877" s="5" t="b">
        <v>0</v>
      </c>
      <c r="M877" s="5" t="b">
        <v>0</v>
      </c>
      <c r="N877" s="5" t="s">
        <v>31</v>
      </c>
      <c r="O877" s="8">
        <f t="shared" si="772"/>
        <v>0.6917721518987342</v>
      </c>
      <c r="P877" s="9">
        <f t="shared" si="762"/>
        <v>81.567164179104481</v>
      </c>
      <c r="Q877" s="5" t="str" cm="1">
        <f t="array" ref="Q877:R877">_xlfn.TEXTSPLIT(N877,"/")</f>
        <v>music</v>
      </c>
      <c r="R877" t="str">
        <v>rock</v>
      </c>
      <c r="S877" s="10">
        <f t="shared" ref="S877:T877" si="883">(((J877/60)/60)/24)+DATE(1970,1,1)</f>
        <v>40556.25</v>
      </c>
      <c r="T877" s="10">
        <f t="shared" si="883"/>
        <v>40557.25</v>
      </c>
    </row>
    <row r="878" spans="1:20" ht="15.75" customHeight="1" x14ac:dyDescent="0.25">
      <c r="A878" s="5">
        <v>876</v>
      </c>
      <c r="B878" s="6" t="s">
        <v>1792</v>
      </c>
      <c r="C878" s="7" t="s">
        <v>1793</v>
      </c>
      <c r="D878" s="5">
        <v>8300</v>
      </c>
      <c r="E878" s="5">
        <v>2111</v>
      </c>
      <c r="F878" s="5" t="s">
        <v>22</v>
      </c>
      <c r="G878" s="5">
        <v>57</v>
      </c>
      <c r="H878" s="5" t="s">
        <v>23</v>
      </c>
      <c r="I878" s="5" t="s">
        <v>24</v>
      </c>
      <c r="J878" s="5">
        <v>1559970000</v>
      </c>
      <c r="K878" s="5">
        <v>1562043600</v>
      </c>
      <c r="L878" s="5" t="b">
        <v>0</v>
      </c>
      <c r="M878" s="5" t="b">
        <v>0</v>
      </c>
      <c r="N878" s="5" t="s">
        <v>130</v>
      </c>
      <c r="O878" s="8">
        <f t="shared" si="772"/>
        <v>0.25433734939759034</v>
      </c>
      <c r="P878" s="9">
        <f t="shared" si="762"/>
        <v>37.035087719298247</v>
      </c>
      <c r="Q878" s="5" t="str" cm="1">
        <f t="array" ref="Q878:R878">_xlfn.TEXTSPLIT(N878,"/")</f>
        <v>photography</v>
      </c>
      <c r="R878" t="str">
        <v>photography books</v>
      </c>
      <c r="S878" s="10">
        <f t="shared" ref="S878:T878" si="884">(((J878/60)/60)/24)+DATE(1970,1,1)</f>
        <v>43624.208333333328</v>
      </c>
      <c r="T878" s="10">
        <f t="shared" si="884"/>
        <v>43648.208333333328</v>
      </c>
    </row>
    <row r="879" spans="1:20" ht="15.75" customHeight="1" x14ac:dyDescent="0.25">
      <c r="A879" s="5">
        <v>877</v>
      </c>
      <c r="B879" s="6" t="s">
        <v>1794</v>
      </c>
      <c r="C879" s="7" t="s">
        <v>1795</v>
      </c>
      <c r="D879" s="5">
        <v>163600</v>
      </c>
      <c r="E879" s="5">
        <v>126628</v>
      </c>
      <c r="F879" s="5" t="s">
        <v>22</v>
      </c>
      <c r="G879" s="5">
        <v>1229</v>
      </c>
      <c r="H879" s="5" t="s">
        <v>29</v>
      </c>
      <c r="I879" s="5" t="s">
        <v>30</v>
      </c>
      <c r="J879" s="5">
        <v>1469509200</v>
      </c>
      <c r="K879" s="5">
        <v>1469595600</v>
      </c>
      <c r="L879" s="5" t="b">
        <v>0</v>
      </c>
      <c r="M879" s="5" t="b">
        <v>0</v>
      </c>
      <c r="N879" s="5" t="s">
        <v>25</v>
      </c>
      <c r="O879" s="8">
        <f t="shared" si="772"/>
        <v>0.77400977995110021</v>
      </c>
      <c r="P879" s="9">
        <f t="shared" si="762"/>
        <v>103.033360455655</v>
      </c>
      <c r="Q879" s="5" t="str" cm="1">
        <f t="array" ref="Q879:R879">_xlfn.TEXTSPLIT(N879,"/")</f>
        <v>food</v>
      </c>
      <c r="R879" t="str">
        <v>food trucks</v>
      </c>
      <c r="S879" s="10">
        <f t="shared" ref="S879:T879" si="885">(((J879/60)/60)/24)+DATE(1970,1,1)</f>
        <v>42577.208333333328</v>
      </c>
      <c r="T879" s="10">
        <f t="shared" si="885"/>
        <v>42578.208333333328</v>
      </c>
    </row>
    <row r="880" spans="1:20" ht="15.75" customHeight="1" x14ac:dyDescent="0.25">
      <c r="A880" s="5">
        <v>878</v>
      </c>
      <c r="B880" s="6" t="s">
        <v>1796</v>
      </c>
      <c r="C880" s="7" t="s">
        <v>1797</v>
      </c>
      <c r="D880" s="5">
        <v>2700</v>
      </c>
      <c r="E880" s="5">
        <v>1012</v>
      </c>
      <c r="F880" s="5" t="s">
        <v>22</v>
      </c>
      <c r="G880" s="5">
        <v>12</v>
      </c>
      <c r="H880" s="5" t="s">
        <v>115</v>
      </c>
      <c r="I880" s="5" t="s">
        <v>116</v>
      </c>
      <c r="J880" s="5">
        <v>1579068000</v>
      </c>
      <c r="K880" s="5">
        <v>1581141600</v>
      </c>
      <c r="L880" s="5" t="b">
        <v>0</v>
      </c>
      <c r="M880" s="5" t="b">
        <v>0</v>
      </c>
      <c r="N880" s="5" t="s">
        <v>156</v>
      </c>
      <c r="O880" s="8">
        <f t="shared" si="772"/>
        <v>0.37481481481481482</v>
      </c>
      <c r="P880" s="9">
        <f t="shared" si="762"/>
        <v>84.333333333333329</v>
      </c>
      <c r="Q880" s="5" t="str" cm="1">
        <f t="array" ref="Q880:R880">_xlfn.TEXTSPLIT(N880,"/")</f>
        <v>music</v>
      </c>
      <c r="R880" t="str">
        <v>metal</v>
      </c>
      <c r="S880" s="10">
        <f t="shared" ref="S880:T880" si="886">(((J880/60)/60)/24)+DATE(1970,1,1)</f>
        <v>43845.25</v>
      </c>
      <c r="T880" s="10">
        <f t="shared" si="886"/>
        <v>43869.25</v>
      </c>
    </row>
    <row r="881" spans="1:20" ht="15.75" customHeight="1" x14ac:dyDescent="0.25">
      <c r="A881" s="5">
        <v>879</v>
      </c>
      <c r="B881" s="6" t="s">
        <v>1798</v>
      </c>
      <c r="C881" s="7" t="s">
        <v>1799</v>
      </c>
      <c r="D881" s="5">
        <v>1000</v>
      </c>
      <c r="E881" s="5">
        <v>5438</v>
      </c>
      <c r="F881" s="5" t="s">
        <v>28</v>
      </c>
      <c r="G881" s="5">
        <v>53</v>
      </c>
      <c r="H881" s="5" t="s">
        <v>29</v>
      </c>
      <c r="I881" s="5" t="s">
        <v>30</v>
      </c>
      <c r="J881" s="5">
        <v>1487743200</v>
      </c>
      <c r="K881" s="5">
        <v>1488520800</v>
      </c>
      <c r="L881" s="5" t="b">
        <v>0</v>
      </c>
      <c r="M881" s="5" t="b">
        <v>0</v>
      </c>
      <c r="N881" s="5" t="s">
        <v>76</v>
      </c>
      <c r="O881" s="8">
        <f t="shared" si="772"/>
        <v>5.4379999999999997</v>
      </c>
      <c r="P881" s="9">
        <f t="shared" si="762"/>
        <v>102.60377358490567</v>
      </c>
      <c r="Q881" s="5" t="str" cm="1">
        <f t="array" ref="Q881:R881">_xlfn.TEXTSPLIT(N881,"/")</f>
        <v>publishing</v>
      </c>
      <c r="R881" t="str">
        <v>nonfiction</v>
      </c>
      <c r="S881" s="10">
        <f t="shared" ref="S881:T881" si="887">(((J881/60)/60)/24)+DATE(1970,1,1)</f>
        <v>42788.25</v>
      </c>
      <c r="T881" s="10">
        <f t="shared" si="887"/>
        <v>42797.25</v>
      </c>
    </row>
    <row r="882" spans="1:20" ht="15.75" customHeight="1" x14ac:dyDescent="0.25">
      <c r="A882" s="5">
        <v>880</v>
      </c>
      <c r="B882" s="6" t="s">
        <v>1800</v>
      </c>
      <c r="C882" s="7" t="s">
        <v>1801</v>
      </c>
      <c r="D882" s="5">
        <v>84500</v>
      </c>
      <c r="E882" s="5">
        <v>193101</v>
      </c>
      <c r="F882" s="5" t="s">
        <v>28</v>
      </c>
      <c r="G882" s="5">
        <v>2414</v>
      </c>
      <c r="H882" s="5" t="s">
        <v>29</v>
      </c>
      <c r="I882" s="5" t="s">
        <v>30</v>
      </c>
      <c r="J882" s="5">
        <v>1563685200</v>
      </c>
      <c r="K882" s="5">
        <v>1563858000</v>
      </c>
      <c r="L882" s="5" t="b">
        <v>0</v>
      </c>
      <c r="M882" s="5" t="b">
        <v>0</v>
      </c>
      <c r="N882" s="5" t="s">
        <v>58</v>
      </c>
      <c r="O882" s="8">
        <f t="shared" si="772"/>
        <v>2.2852189349112426</v>
      </c>
      <c r="P882" s="9">
        <f t="shared" si="762"/>
        <v>79.992129246064621</v>
      </c>
      <c r="Q882" s="5" t="str" cm="1">
        <f t="array" ref="Q882:R882">_xlfn.TEXTSPLIT(N882,"/")</f>
        <v>music</v>
      </c>
      <c r="R882" t="str">
        <v>electric music</v>
      </c>
      <c r="S882" s="10">
        <f t="shared" ref="S882:T882" si="888">(((J882/60)/60)/24)+DATE(1970,1,1)</f>
        <v>43667.208333333328</v>
      </c>
      <c r="T882" s="10">
        <f t="shared" si="888"/>
        <v>43669.208333333328</v>
      </c>
    </row>
    <row r="883" spans="1:20" ht="15.75" customHeight="1" x14ac:dyDescent="0.25">
      <c r="A883" s="5">
        <v>881</v>
      </c>
      <c r="B883" s="6" t="s">
        <v>1802</v>
      </c>
      <c r="C883" s="7" t="s">
        <v>1803</v>
      </c>
      <c r="D883" s="5">
        <v>81300</v>
      </c>
      <c r="E883" s="5">
        <v>31665</v>
      </c>
      <c r="F883" s="5" t="s">
        <v>22</v>
      </c>
      <c r="G883" s="5">
        <v>452</v>
      </c>
      <c r="H883" s="5" t="s">
        <v>29</v>
      </c>
      <c r="I883" s="5" t="s">
        <v>30</v>
      </c>
      <c r="J883" s="5">
        <v>1436418000</v>
      </c>
      <c r="K883" s="5">
        <v>1438923600</v>
      </c>
      <c r="L883" s="5" t="b">
        <v>0</v>
      </c>
      <c r="M883" s="5" t="b">
        <v>1</v>
      </c>
      <c r="N883" s="5" t="s">
        <v>41</v>
      </c>
      <c r="O883" s="8">
        <f t="shared" si="772"/>
        <v>0.38948339483394834</v>
      </c>
      <c r="P883" s="9">
        <f t="shared" si="762"/>
        <v>70.055309734513273</v>
      </c>
      <c r="Q883" s="5" t="str" cm="1">
        <f t="array" ref="Q883:R883">_xlfn.TEXTSPLIT(N883,"/")</f>
        <v>theater</v>
      </c>
      <c r="R883" t="str">
        <v>plays</v>
      </c>
      <c r="S883" s="10">
        <f t="shared" ref="S883:T883" si="889">(((J883/60)/60)/24)+DATE(1970,1,1)</f>
        <v>42194.208333333328</v>
      </c>
      <c r="T883" s="10">
        <f t="shared" si="889"/>
        <v>42223.208333333328</v>
      </c>
    </row>
    <row r="884" spans="1:20" ht="15.75" customHeight="1" x14ac:dyDescent="0.25">
      <c r="A884" s="5">
        <v>882</v>
      </c>
      <c r="B884" s="6" t="s">
        <v>1804</v>
      </c>
      <c r="C884" s="7" t="s">
        <v>1805</v>
      </c>
      <c r="D884" s="5">
        <v>800</v>
      </c>
      <c r="E884" s="5">
        <v>2960</v>
      </c>
      <c r="F884" s="5" t="s">
        <v>28</v>
      </c>
      <c r="G884" s="5">
        <v>80</v>
      </c>
      <c r="H884" s="5" t="s">
        <v>29</v>
      </c>
      <c r="I884" s="5" t="s">
        <v>30</v>
      </c>
      <c r="J884" s="5">
        <v>1421820000</v>
      </c>
      <c r="K884" s="5">
        <v>1422165600</v>
      </c>
      <c r="L884" s="5" t="b">
        <v>0</v>
      </c>
      <c r="M884" s="5" t="b">
        <v>0</v>
      </c>
      <c r="N884" s="5" t="s">
        <v>41</v>
      </c>
      <c r="O884" s="8">
        <f t="shared" si="772"/>
        <v>3.7</v>
      </c>
      <c r="P884" s="9">
        <f t="shared" si="762"/>
        <v>37</v>
      </c>
      <c r="Q884" s="5" t="str" cm="1">
        <f t="array" ref="Q884:R884">_xlfn.TEXTSPLIT(N884,"/")</f>
        <v>theater</v>
      </c>
      <c r="R884" t="str">
        <v>plays</v>
      </c>
      <c r="S884" s="10">
        <f t="shared" ref="S884:T884" si="890">(((J884/60)/60)/24)+DATE(1970,1,1)</f>
        <v>42025.25</v>
      </c>
      <c r="T884" s="10">
        <f t="shared" si="890"/>
        <v>42029.25</v>
      </c>
    </row>
    <row r="885" spans="1:20" ht="15.75" customHeight="1" x14ac:dyDescent="0.25">
      <c r="A885" s="5">
        <v>883</v>
      </c>
      <c r="B885" s="6" t="s">
        <v>1806</v>
      </c>
      <c r="C885" s="7" t="s">
        <v>1807</v>
      </c>
      <c r="D885" s="5">
        <v>3400</v>
      </c>
      <c r="E885" s="5">
        <v>8089</v>
      </c>
      <c r="F885" s="5" t="s">
        <v>28</v>
      </c>
      <c r="G885" s="5">
        <v>193</v>
      </c>
      <c r="H885" s="5" t="s">
        <v>29</v>
      </c>
      <c r="I885" s="5" t="s">
        <v>30</v>
      </c>
      <c r="J885" s="5">
        <v>1274763600</v>
      </c>
      <c r="K885" s="5">
        <v>1277874000</v>
      </c>
      <c r="L885" s="5" t="b">
        <v>0</v>
      </c>
      <c r="M885" s="5" t="b">
        <v>0</v>
      </c>
      <c r="N885" s="5" t="s">
        <v>108</v>
      </c>
      <c r="O885" s="8">
        <f t="shared" si="772"/>
        <v>2.3791176470588233</v>
      </c>
      <c r="P885" s="9">
        <f t="shared" si="762"/>
        <v>41.911917098445599</v>
      </c>
      <c r="Q885" s="5" t="str" cm="1">
        <f t="array" ref="Q885:R885">_xlfn.TEXTSPLIT(N885,"/")</f>
        <v>film &amp; video</v>
      </c>
      <c r="R885" t="str">
        <v>shorts</v>
      </c>
      <c r="S885" s="10">
        <f t="shared" ref="S885:T885" si="891">(((J885/60)/60)/24)+DATE(1970,1,1)</f>
        <v>40323.208333333336</v>
      </c>
      <c r="T885" s="10">
        <f t="shared" si="891"/>
        <v>40359.208333333336</v>
      </c>
    </row>
    <row r="886" spans="1:20" ht="15.75" customHeight="1" x14ac:dyDescent="0.25">
      <c r="A886" s="5">
        <v>884</v>
      </c>
      <c r="B886" s="6" t="s">
        <v>1808</v>
      </c>
      <c r="C886" s="7" t="s">
        <v>1809</v>
      </c>
      <c r="D886" s="5">
        <v>170800</v>
      </c>
      <c r="E886" s="5">
        <v>109374</v>
      </c>
      <c r="F886" s="5" t="s">
        <v>22</v>
      </c>
      <c r="G886" s="5">
        <v>1886</v>
      </c>
      <c r="H886" s="5" t="s">
        <v>29</v>
      </c>
      <c r="I886" s="5" t="s">
        <v>30</v>
      </c>
      <c r="J886" s="5">
        <v>1399179600</v>
      </c>
      <c r="K886" s="5">
        <v>1399352400</v>
      </c>
      <c r="L886" s="5" t="b">
        <v>0</v>
      </c>
      <c r="M886" s="5" t="b">
        <v>1</v>
      </c>
      <c r="N886" s="5" t="s">
        <v>41</v>
      </c>
      <c r="O886" s="8">
        <f t="shared" si="772"/>
        <v>0.64036299765807958</v>
      </c>
      <c r="P886" s="9">
        <f t="shared" si="762"/>
        <v>57.992576882290564</v>
      </c>
      <c r="Q886" s="5" t="str" cm="1">
        <f t="array" ref="Q886:R886">_xlfn.TEXTSPLIT(N886,"/")</f>
        <v>theater</v>
      </c>
      <c r="R886" t="str">
        <v>plays</v>
      </c>
      <c r="S886" s="10">
        <f t="shared" ref="S886:T886" si="892">(((J886/60)/60)/24)+DATE(1970,1,1)</f>
        <v>41763.208333333336</v>
      </c>
      <c r="T886" s="10">
        <f t="shared" si="892"/>
        <v>41765.208333333336</v>
      </c>
    </row>
    <row r="887" spans="1:20" ht="15.75" customHeight="1" x14ac:dyDescent="0.25">
      <c r="A887" s="5">
        <v>885</v>
      </c>
      <c r="B887" s="6" t="s">
        <v>1810</v>
      </c>
      <c r="C887" s="7" t="s">
        <v>1811</v>
      </c>
      <c r="D887" s="5">
        <v>1800</v>
      </c>
      <c r="E887" s="5">
        <v>2129</v>
      </c>
      <c r="F887" s="5" t="s">
        <v>28</v>
      </c>
      <c r="G887" s="5">
        <v>52</v>
      </c>
      <c r="H887" s="5" t="s">
        <v>29</v>
      </c>
      <c r="I887" s="5" t="s">
        <v>30</v>
      </c>
      <c r="J887" s="5">
        <v>1275800400</v>
      </c>
      <c r="K887" s="5">
        <v>1279083600</v>
      </c>
      <c r="L887" s="5" t="b">
        <v>0</v>
      </c>
      <c r="M887" s="5" t="b">
        <v>0</v>
      </c>
      <c r="N887" s="5" t="s">
        <v>41</v>
      </c>
      <c r="O887" s="8">
        <f t="shared" si="772"/>
        <v>1.1827777777777777</v>
      </c>
      <c r="P887" s="9">
        <f t="shared" si="762"/>
        <v>40.942307692307693</v>
      </c>
      <c r="Q887" s="5" t="str" cm="1">
        <f t="array" ref="Q887:R887">_xlfn.TEXTSPLIT(N887,"/")</f>
        <v>theater</v>
      </c>
      <c r="R887" t="str">
        <v>plays</v>
      </c>
      <c r="S887" s="10">
        <f t="shared" ref="S887:T887" si="893">(((J887/60)/60)/24)+DATE(1970,1,1)</f>
        <v>40335.208333333336</v>
      </c>
      <c r="T887" s="10">
        <f t="shared" si="893"/>
        <v>40373.208333333336</v>
      </c>
    </row>
    <row r="888" spans="1:20" ht="15.75" customHeight="1" x14ac:dyDescent="0.25">
      <c r="A888" s="5">
        <v>886</v>
      </c>
      <c r="B888" s="6" t="s">
        <v>1812</v>
      </c>
      <c r="C888" s="7" t="s">
        <v>1813</v>
      </c>
      <c r="D888" s="5">
        <v>150600</v>
      </c>
      <c r="E888" s="5">
        <v>127745</v>
      </c>
      <c r="F888" s="5" t="s">
        <v>22</v>
      </c>
      <c r="G888" s="5">
        <v>1825</v>
      </c>
      <c r="H888" s="5" t="s">
        <v>29</v>
      </c>
      <c r="I888" s="5" t="s">
        <v>30</v>
      </c>
      <c r="J888" s="5">
        <v>1282798800</v>
      </c>
      <c r="K888" s="5">
        <v>1284354000</v>
      </c>
      <c r="L888" s="5" t="b">
        <v>0</v>
      </c>
      <c r="M888" s="5" t="b">
        <v>0</v>
      </c>
      <c r="N888" s="5" t="s">
        <v>68</v>
      </c>
      <c r="O888" s="8">
        <f t="shared" si="772"/>
        <v>0.84824037184594958</v>
      </c>
      <c r="P888" s="9">
        <f t="shared" si="762"/>
        <v>69.9972602739726</v>
      </c>
      <c r="Q888" s="5" t="str" cm="1">
        <f t="array" ref="Q888:R888">_xlfn.TEXTSPLIT(N888,"/")</f>
        <v>music</v>
      </c>
      <c r="R888" t="str">
        <v>indie rock</v>
      </c>
      <c r="S888" s="10">
        <f t="shared" ref="S888:T888" si="894">(((J888/60)/60)/24)+DATE(1970,1,1)</f>
        <v>40416.208333333336</v>
      </c>
      <c r="T888" s="10">
        <f t="shared" si="894"/>
        <v>40434.208333333336</v>
      </c>
    </row>
    <row r="889" spans="1:20" ht="15.75" customHeight="1" x14ac:dyDescent="0.25">
      <c r="A889" s="5">
        <v>887</v>
      </c>
      <c r="B889" s="6" t="s">
        <v>1814</v>
      </c>
      <c r="C889" s="7" t="s">
        <v>1815</v>
      </c>
      <c r="D889" s="5">
        <v>7800</v>
      </c>
      <c r="E889" s="5">
        <v>2289</v>
      </c>
      <c r="F889" s="5" t="s">
        <v>22</v>
      </c>
      <c r="G889" s="5">
        <v>31</v>
      </c>
      <c r="H889" s="5" t="s">
        <v>29</v>
      </c>
      <c r="I889" s="5" t="s">
        <v>30</v>
      </c>
      <c r="J889" s="5">
        <v>1437109200</v>
      </c>
      <c r="K889" s="5">
        <v>1441170000</v>
      </c>
      <c r="L889" s="5" t="b">
        <v>0</v>
      </c>
      <c r="M889" s="5" t="b">
        <v>1</v>
      </c>
      <c r="N889" s="5" t="s">
        <v>41</v>
      </c>
      <c r="O889" s="8">
        <f t="shared" si="772"/>
        <v>0.29346153846153844</v>
      </c>
      <c r="P889" s="9">
        <f t="shared" si="762"/>
        <v>73.838709677419359</v>
      </c>
      <c r="Q889" s="5" t="str" cm="1">
        <f t="array" ref="Q889:R889">_xlfn.TEXTSPLIT(N889,"/")</f>
        <v>theater</v>
      </c>
      <c r="R889" t="str">
        <v>plays</v>
      </c>
      <c r="S889" s="10">
        <f t="shared" ref="S889:T889" si="895">(((J889/60)/60)/24)+DATE(1970,1,1)</f>
        <v>42202.208333333328</v>
      </c>
      <c r="T889" s="10">
        <f t="shared" si="895"/>
        <v>42249.208333333328</v>
      </c>
    </row>
    <row r="890" spans="1:20" ht="15.75" customHeight="1" x14ac:dyDescent="0.25">
      <c r="A890" s="5">
        <v>888</v>
      </c>
      <c r="B890" s="6" t="s">
        <v>1816</v>
      </c>
      <c r="C890" s="7" t="s">
        <v>1817</v>
      </c>
      <c r="D890" s="5">
        <v>5800</v>
      </c>
      <c r="E890" s="5">
        <v>12174</v>
      </c>
      <c r="F890" s="5" t="s">
        <v>28</v>
      </c>
      <c r="G890" s="5">
        <v>290</v>
      </c>
      <c r="H890" s="5" t="s">
        <v>29</v>
      </c>
      <c r="I890" s="5" t="s">
        <v>30</v>
      </c>
      <c r="J890" s="5">
        <v>1491886800</v>
      </c>
      <c r="K890" s="5">
        <v>1493528400</v>
      </c>
      <c r="L890" s="5" t="b">
        <v>0</v>
      </c>
      <c r="M890" s="5" t="b">
        <v>0</v>
      </c>
      <c r="N890" s="5" t="s">
        <v>41</v>
      </c>
      <c r="O890" s="8">
        <f t="shared" si="772"/>
        <v>2.0989655172413793</v>
      </c>
      <c r="P890" s="9">
        <f t="shared" si="762"/>
        <v>41.979310344827589</v>
      </c>
      <c r="Q890" s="5" t="str" cm="1">
        <f t="array" ref="Q890:R890">_xlfn.TEXTSPLIT(N890,"/")</f>
        <v>theater</v>
      </c>
      <c r="R890" t="str">
        <v>plays</v>
      </c>
      <c r="S890" s="10">
        <f t="shared" ref="S890:T890" si="896">(((J890/60)/60)/24)+DATE(1970,1,1)</f>
        <v>42836.208333333328</v>
      </c>
      <c r="T890" s="10">
        <f t="shared" si="896"/>
        <v>42855.208333333328</v>
      </c>
    </row>
    <row r="891" spans="1:20" ht="15.75" customHeight="1" x14ac:dyDescent="0.25">
      <c r="A891" s="5">
        <v>889</v>
      </c>
      <c r="B891" s="6" t="s">
        <v>1818</v>
      </c>
      <c r="C891" s="7" t="s">
        <v>1819</v>
      </c>
      <c r="D891" s="5">
        <v>5600</v>
      </c>
      <c r="E891" s="5">
        <v>9508</v>
      </c>
      <c r="F891" s="5" t="s">
        <v>28</v>
      </c>
      <c r="G891" s="5">
        <v>122</v>
      </c>
      <c r="H891" s="5" t="s">
        <v>29</v>
      </c>
      <c r="I891" s="5" t="s">
        <v>30</v>
      </c>
      <c r="J891" s="5">
        <v>1394600400</v>
      </c>
      <c r="K891" s="5">
        <v>1395205200</v>
      </c>
      <c r="L891" s="5" t="b">
        <v>0</v>
      </c>
      <c r="M891" s="5" t="b">
        <v>1</v>
      </c>
      <c r="N891" s="5" t="s">
        <v>58</v>
      </c>
      <c r="O891" s="8">
        <f t="shared" si="772"/>
        <v>1.697857142857143</v>
      </c>
      <c r="P891" s="9">
        <f t="shared" si="762"/>
        <v>77.93442622950819</v>
      </c>
      <c r="Q891" s="5" t="str" cm="1">
        <f t="array" ref="Q891:R891">_xlfn.TEXTSPLIT(N891,"/")</f>
        <v>music</v>
      </c>
      <c r="R891" t="str">
        <v>electric music</v>
      </c>
      <c r="S891" s="10">
        <f t="shared" ref="S891:T891" si="897">(((J891/60)/60)/24)+DATE(1970,1,1)</f>
        <v>41710.208333333336</v>
      </c>
      <c r="T891" s="10">
        <f t="shared" si="897"/>
        <v>41717.208333333336</v>
      </c>
    </row>
    <row r="892" spans="1:20" ht="15.75" customHeight="1" x14ac:dyDescent="0.25">
      <c r="A892" s="5">
        <v>890</v>
      </c>
      <c r="B892" s="6" t="s">
        <v>1820</v>
      </c>
      <c r="C892" s="7" t="s">
        <v>1821</v>
      </c>
      <c r="D892" s="5">
        <v>134400</v>
      </c>
      <c r="E892" s="5">
        <v>155849</v>
      </c>
      <c r="F892" s="5" t="s">
        <v>28</v>
      </c>
      <c r="G892" s="5">
        <v>1470</v>
      </c>
      <c r="H892" s="5" t="s">
        <v>29</v>
      </c>
      <c r="I892" s="5" t="s">
        <v>30</v>
      </c>
      <c r="J892" s="5">
        <v>1561352400</v>
      </c>
      <c r="K892" s="5">
        <v>1561438800</v>
      </c>
      <c r="L892" s="5" t="b">
        <v>0</v>
      </c>
      <c r="M892" s="5" t="b">
        <v>0</v>
      </c>
      <c r="N892" s="5" t="s">
        <v>68</v>
      </c>
      <c r="O892" s="8">
        <f t="shared" si="772"/>
        <v>1.1595907738095239</v>
      </c>
      <c r="P892" s="9">
        <f t="shared" si="762"/>
        <v>106.01972789115646</v>
      </c>
      <c r="Q892" s="5" t="str" cm="1">
        <f t="array" ref="Q892:R892">_xlfn.TEXTSPLIT(N892,"/")</f>
        <v>music</v>
      </c>
      <c r="R892" t="str">
        <v>indie rock</v>
      </c>
      <c r="S892" s="10">
        <f t="shared" ref="S892:T892" si="898">(((J892/60)/60)/24)+DATE(1970,1,1)</f>
        <v>43640.208333333328</v>
      </c>
      <c r="T892" s="10">
        <f t="shared" si="898"/>
        <v>43641.208333333328</v>
      </c>
    </row>
    <row r="893" spans="1:20" ht="15.75" customHeight="1" x14ac:dyDescent="0.25">
      <c r="A893" s="5">
        <v>891</v>
      </c>
      <c r="B893" s="6" t="s">
        <v>1822</v>
      </c>
      <c r="C893" s="7" t="s">
        <v>1823</v>
      </c>
      <c r="D893" s="5">
        <v>3000</v>
      </c>
      <c r="E893" s="5">
        <v>7758</v>
      </c>
      <c r="F893" s="5" t="s">
        <v>28</v>
      </c>
      <c r="G893" s="5">
        <v>165</v>
      </c>
      <c r="H893" s="5" t="s">
        <v>23</v>
      </c>
      <c r="I893" s="5" t="s">
        <v>24</v>
      </c>
      <c r="J893" s="5">
        <v>1322892000</v>
      </c>
      <c r="K893" s="5">
        <v>1326693600</v>
      </c>
      <c r="L893" s="5" t="b">
        <v>0</v>
      </c>
      <c r="M893" s="5" t="b">
        <v>0</v>
      </c>
      <c r="N893" s="5" t="s">
        <v>50</v>
      </c>
      <c r="O893" s="8">
        <f t="shared" si="772"/>
        <v>2.5859999999999999</v>
      </c>
      <c r="P893" s="9">
        <f t="shared" si="762"/>
        <v>47.018181818181816</v>
      </c>
      <c r="Q893" s="5" t="str" cm="1">
        <f t="array" ref="Q893:R893">_xlfn.TEXTSPLIT(N893,"/")</f>
        <v>film &amp; video</v>
      </c>
      <c r="R893" t="str">
        <v>documentary</v>
      </c>
      <c r="S893" s="10">
        <f t="shared" ref="S893:T893" si="899">(((J893/60)/60)/24)+DATE(1970,1,1)</f>
        <v>40880.25</v>
      </c>
      <c r="T893" s="10">
        <f t="shared" si="899"/>
        <v>40924.25</v>
      </c>
    </row>
    <row r="894" spans="1:20" ht="15.75" customHeight="1" x14ac:dyDescent="0.25">
      <c r="A894" s="5">
        <v>892</v>
      </c>
      <c r="B894" s="6" t="s">
        <v>1824</v>
      </c>
      <c r="C894" s="7" t="s">
        <v>1825</v>
      </c>
      <c r="D894" s="5">
        <v>6000</v>
      </c>
      <c r="E894" s="5">
        <v>13835</v>
      </c>
      <c r="F894" s="5" t="s">
        <v>28</v>
      </c>
      <c r="G894" s="5">
        <v>182</v>
      </c>
      <c r="H894" s="5" t="s">
        <v>29</v>
      </c>
      <c r="I894" s="5" t="s">
        <v>30</v>
      </c>
      <c r="J894" s="5">
        <v>1274418000</v>
      </c>
      <c r="K894" s="5">
        <v>1277960400</v>
      </c>
      <c r="L894" s="5" t="b">
        <v>0</v>
      </c>
      <c r="M894" s="5" t="b">
        <v>0</v>
      </c>
      <c r="N894" s="5" t="s">
        <v>214</v>
      </c>
      <c r="O894" s="8">
        <f t="shared" si="772"/>
        <v>2.3058333333333332</v>
      </c>
      <c r="P894" s="9">
        <f t="shared" si="762"/>
        <v>76.016483516483518</v>
      </c>
      <c r="Q894" s="5" t="str" cm="1">
        <f t="array" ref="Q894:R894">_xlfn.TEXTSPLIT(N894,"/")</f>
        <v>publishing</v>
      </c>
      <c r="R894" t="str">
        <v>translations</v>
      </c>
      <c r="S894" s="10">
        <f t="shared" ref="S894:T894" si="900">(((J894/60)/60)/24)+DATE(1970,1,1)</f>
        <v>40319.208333333336</v>
      </c>
      <c r="T894" s="10">
        <f t="shared" si="900"/>
        <v>40360.208333333336</v>
      </c>
    </row>
    <row r="895" spans="1:20" ht="15.75" customHeight="1" x14ac:dyDescent="0.25">
      <c r="A895" s="5">
        <v>893</v>
      </c>
      <c r="B895" s="6" t="s">
        <v>1826</v>
      </c>
      <c r="C895" s="7" t="s">
        <v>1827</v>
      </c>
      <c r="D895" s="5">
        <v>8400</v>
      </c>
      <c r="E895" s="5">
        <v>10770</v>
      </c>
      <c r="F895" s="5" t="s">
        <v>28</v>
      </c>
      <c r="G895" s="5">
        <v>199</v>
      </c>
      <c r="H895" s="5" t="s">
        <v>115</v>
      </c>
      <c r="I895" s="5" t="s">
        <v>116</v>
      </c>
      <c r="J895" s="5">
        <v>1434344400</v>
      </c>
      <c r="K895" s="5">
        <v>1434690000</v>
      </c>
      <c r="L895" s="5" t="b">
        <v>0</v>
      </c>
      <c r="M895" s="5" t="b">
        <v>1</v>
      </c>
      <c r="N895" s="5" t="s">
        <v>50</v>
      </c>
      <c r="O895" s="8">
        <f t="shared" si="772"/>
        <v>1.2821428571428573</v>
      </c>
      <c r="P895" s="9">
        <f t="shared" si="762"/>
        <v>54.120603015075375</v>
      </c>
      <c r="Q895" s="5" t="str" cm="1">
        <f t="array" ref="Q895:R895">_xlfn.TEXTSPLIT(N895,"/")</f>
        <v>film &amp; video</v>
      </c>
      <c r="R895" t="str">
        <v>documentary</v>
      </c>
      <c r="S895" s="10">
        <f t="shared" ref="S895:T895" si="901">(((J895/60)/60)/24)+DATE(1970,1,1)</f>
        <v>42170.208333333328</v>
      </c>
      <c r="T895" s="10">
        <f t="shared" si="901"/>
        <v>42174.208333333328</v>
      </c>
    </row>
    <row r="896" spans="1:20" ht="15.75" customHeight="1" x14ac:dyDescent="0.25">
      <c r="A896" s="5">
        <v>894</v>
      </c>
      <c r="B896" s="6" t="s">
        <v>1828</v>
      </c>
      <c r="C896" s="7" t="s">
        <v>1829</v>
      </c>
      <c r="D896" s="5">
        <v>1700</v>
      </c>
      <c r="E896" s="5">
        <v>3208</v>
      </c>
      <c r="F896" s="5" t="s">
        <v>28</v>
      </c>
      <c r="G896" s="5">
        <v>56</v>
      </c>
      <c r="H896" s="5" t="s">
        <v>48</v>
      </c>
      <c r="I896" s="5" t="s">
        <v>49</v>
      </c>
      <c r="J896" s="5">
        <v>1373518800</v>
      </c>
      <c r="K896" s="5">
        <v>1376110800</v>
      </c>
      <c r="L896" s="5" t="b">
        <v>0</v>
      </c>
      <c r="M896" s="5" t="b">
        <v>1</v>
      </c>
      <c r="N896" s="5" t="s">
        <v>277</v>
      </c>
      <c r="O896" s="8">
        <f t="shared" si="772"/>
        <v>1.8870588235294117</v>
      </c>
      <c r="P896" s="9">
        <f t="shared" si="762"/>
        <v>57.285714285714285</v>
      </c>
      <c r="Q896" s="5" t="str" cm="1">
        <f t="array" ref="Q896:R896">_xlfn.TEXTSPLIT(N896,"/")</f>
        <v>film &amp; video</v>
      </c>
      <c r="R896" t="str">
        <v>television</v>
      </c>
      <c r="S896" s="10">
        <f t="shared" ref="S896:T896" si="902">(((J896/60)/60)/24)+DATE(1970,1,1)</f>
        <v>41466.208333333336</v>
      </c>
      <c r="T896" s="10">
        <f t="shared" si="902"/>
        <v>41496.208333333336</v>
      </c>
    </row>
    <row r="897" spans="1:20" ht="15.75" customHeight="1" x14ac:dyDescent="0.25">
      <c r="A897" s="5">
        <v>895</v>
      </c>
      <c r="B897" s="6" t="s">
        <v>1830</v>
      </c>
      <c r="C897" s="7" t="s">
        <v>1831</v>
      </c>
      <c r="D897" s="5">
        <v>159800</v>
      </c>
      <c r="E897" s="5">
        <v>11108</v>
      </c>
      <c r="F897" s="5" t="s">
        <v>22</v>
      </c>
      <c r="G897" s="5">
        <v>107</v>
      </c>
      <c r="H897" s="5" t="s">
        <v>29</v>
      </c>
      <c r="I897" s="5" t="s">
        <v>30</v>
      </c>
      <c r="J897" s="5">
        <v>1517637600</v>
      </c>
      <c r="K897" s="5">
        <v>1518415200</v>
      </c>
      <c r="L897" s="5" t="b">
        <v>0</v>
      </c>
      <c r="M897" s="5" t="b">
        <v>0</v>
      </c>
      <c r="N897" s="5" t="s">
        <v>41</v>
      </c>
      <c r="O897" s="8">
        <f t="shared" si="772"/>
        <v>6.9511889862327911E-2</v>
      </c>
      <c r="P897" s="9">
        <f t="shared" si="762"/>
        <v>103.81308411214954</v>
      </c>
      <c r="Q897" s="5" t="str" cm="1">
        <f t="array" ref="Q897:R897">_xlfn.TEXTSPLIT(N897,"/")</f>
        <v>theater</v>
      </c>
      <c r="R897" t="str">
        <v>plays</v>
      </c>
      <c r="S897" s="10">
        <f t="shared" ref="S897:T897" si="903">(((J897/60)/60)/24)+DATE(1970,1,1)</f>
        <v>43134.25</v>
      </c>
      <c r="T897" s="10">
        <f t="shared" si="903"/>
        <v>43143.25</v>
      </c>
    </row>
    <row r="898" spans="1:20" ht="15.75" customHeight="1" x14ac:dyDescent="0.25">
      <c r="A898" s="5">
        <v>896</v>
      </c>
      <c r="B898" s="6" t="s">
        <v>1832</v>
      </c>
      <c r="C898" s="7" t="s">
        <v>1833</v>
      </c>
      <c r="D898" s="5">
        <v>19800</v>
      </c>
      <c r="E898" s="5">
        <v>153338</v>
      </c>
      <c r="F898" s="5" t="s">
        <v>28</v>
      </c>
      <c r="G898" s="5">
        <v>1460</v>
      </c>
      <c r="H898" s="5" t="s">
        <v>34</v>
      </c>
      <c r="I898" s="5" t="s">
        <v>35</v>
      </c>
      <c r="J898" s="5">
        <v>1310619600</v>
      </c>
      <c r="K898" s="5">
        <v>1310878800</v>
      </c>
      <c r="L898" s="5" t="b">
        <v>0</v>
      </c>
      <c r="M898" s="5" t="b">
        <v>1</v>
      </c>
      <c r="N898" s="5" t="s">
        <v>25</v>
      </c>
      <c r="O898" s="8">
        <f t="shared" si="772"/>
        <v>7.7443434343434348</v>
      </c>
      <c r="P898" s="9">
        <f t="shared" si="762"/>
        <v>105.02602739726028</v>
      </c>
      <c r="Q898" s="5" t="str" cm="1">
        <f t="array" ref="Q898:R898">_xlfn.TEXTSPLIT(N898,"/")</f>
        <v>food</v>
      </c>
      <c r="R898" t="str">
        <v>food trucks</v>
      </c>
      <c r="S898" s="10">
        <f t="shared" ref="S898:T898" si="904">(((J898/60)/60)/24)+DATE(1970,1,1)</f>
        <v>40738.208333333336</v>
      </c>
      <c r="T898" s="10">
        <f t="shared" si="904"/>
        <v>40741.208333333336</v>
      </c>
    </row>
    <row r="899" spans="1:20" ht="15.75" customHeight="1" x14ac:dyDescent="0.25">
      <c r="A899" s="5">
        <v>897</v>
      </c>
      <c r="B899" s="6" t="s">
        <v>1834</v>
      </c>
      <c r="C899" s="7" t="s">
        <v>1835</v>
      </c>
      <c r="D899" s="5">
        <v>8800</v>
      </c>
      <c r="E899" s="5">
        <v>2437</v>
      </c>
      <c r="F899" s="5" t="s">
        <v>22</v>
      </c>
      <c r="G899" s="5">
        <v>27</v>
      </c>
      <c r="H899" s="5" t="s">
        <v>29</v>
      </c>
      <c r="I899" s="5" t="s">
        <v>30</v>
      </c>
      <c r="J899" s="5">
        <v>1556427600</v>
      </c>
      <c r="K899" s="5">
        <v>1556600400</v>
      </c>
      <c r="L899" s="5" t="b">
        <v>0</v>
      </c>
      <c r="M899" s="5" t="b">
        <v>0</v>
      </c>
      <c r="N899" s="5" t="s">
        <v>41</v>
      </c>
      <c r="O899" s="8">
        <f t="shared" si="772"/>
        <v>0.27693181818181817</v>
      </c>
      <c r="P899" s="9">
        <f t="shared" si="762"/>
        <v>90.259259259259252</v>
      </c>
      <c r="Q899" s="5" t="str" cm="1">
        <f t="array" ref="Q899:R899">_xlfn.TEXTSPLIT(N899,"/")</f>
        <v>theater</v>
      </c>
      <c r="R899" t="str">
        <v>plays</v>
      </c>
      <c r="S899" s="10">
        <f t="shared" ref="S899:T899" si="905">(((J899/60)/60)/24)+DATE(1970,1,1)</f>
        <v>43583.208333333328</v>
      </c>
      <c r="T899" s="10">
        <f t="shared" si="905"/>
        <v>43585.208333333328</v>
      </c>
    </row>
    <row r="900" spans="1:20" ht="15.75" customHeight="1" x14ac:dyDescent="0.25">
      <c r="A900" s="5">
        <v>898</v>
      </c>
      <c r="B900" s="6" t="s">
        <v>1836</v>
      </c>
      <c r="C900" s="7" t="s">
        <v>1837</v>
      </c>
      <c r="D900" s="5">
        <v>179100</v>
      </c>
      <c r="E900" s="5">
        <v>93991</v>
      </c>
      <c r="F900" s="5" t="s">
        <v>22</v>
      </c>
      <c r="G900" s="5">
        <v>1221</v>
      </c>
      <c r="H900" s="5" t="s">
        <v>29</v>
      </c>
      <c r="I900" s="5" t="s">
        <v>30</v>
      </c>
      <c r="J900" s="5">
        <v>1576476000</v>
      </c>
      <c r="K900" s="5">
        <v>1576994400</v>
      </c>
      <c r="L900" s="5" t="b">
        <v>0</v>
      </c>
      <c r="M900" s="5" t="b">
        <v>0</v>
      </c>
      <c r="N900" s="5" t="s">
        <v>50</v>
      </c>
      <c r="O900" s="8">
        <f t="shared" si="772"/>
        <v>0.52479620323841425</v>
      </c>
      <c r="P900" s="9">
        <f t="shared" si="762"/>
        <v>76.978705978705975</v>
      </c>
      <c r="Q900" s="5" t="str" cm="1">
        <f t="array" ref="Q900:R900">_xlfn.TEXTSPLIT(N900,"/")</f>
        <v>film &amp; video</v>
      </c>
      <c r="R900" t="str">
        <v>documentary</v>
      </c>
      <c r="S900" s="10">
        <f t="shared" ref="S900:T900" si="906">(((J900/60)/60)/24)+DATE(1970,1,1)</f>
        <v>43815.25</v>
      </c>
      <c r="T900" s="10">
        <f t="shared" si="906"/>
        <v>43821.25</v>
      </c>
    </row>
    <row r="901" spans="1:20" ht="15.75" customHeight="1" x14ac:dyDescent="0.25">
      <c r="A901" s="5">
        <v>899</v>
      </c>
      <c r="B901" s="6" t="s">
        <v>1838</v>
      </c>
      <c r="C901" s="7" t="s">
        <v>1839</v>
      </c>
      <c r="D901" s="5">
        <v>3100</v>
      </c>
      <c r="E901" s="5">
        <v>12620</v>
      </c>
      <c r="F901" s="5" t="s">
        <v>28</v>
      </c>
      <c r="G901" s="5">
        <v>123</v>
      </c>
      <c r="H901" s="5" t="s">
        <v>106</v>
      </c>
      <c r="I901" s="5" t="s">
        <v>107</v>
      </c>
      <c r="J901" s="5">
        <v>1381122000</v>
      </c>
      <c r="K901" s="5">
        <v>1382677200</v>
      </c>
      <c r="L901" s="5" t="b">
        <v>0</v>
      </c>
      <c r="M901" s="5" t="b">
        <v>0</v>
      </c>
      <c r="N901" s="5" t="s">
        <v>167</v>
      </c>
      <c r="O901" s="8">
        <f t="shared" si="772"/>
        <v>4.0709677419354842</v>
      </c>
      <c r="P901" s="9">
        <f t="shared" si="762"/>
        <v>102.60162601626017</v>
      </c>
      <c r="Q901" s="5" t="str" cm="1">
        <f t="array" ref="Q901:R901">_xlfn.TEXTSPLIT(N901,"/")</f>
        <v>music</v>
      </c>
      <c r="R901" t="str">
        <v>jazz</v>
      </c>
      <c r="S901" s="10">
        <f t="shared" ref="S901:T901" si="907">(((J901/60)/60)/24)+DATE(1970,1,1)</f>
        <v>41554.208333333336</v>
      </c>
      <c r="T901" s="10">
        <f t="shared" si="907"/>
        <v>41572.208333333336</v>
      </c>
    </row>
    <row r="902" spans="1:20" ht="15.75" customHeight="1" x14ac:dyDescent="0.25">
      <c r="A902" s="5">
        <v>900</v>
      </c>
      <c r="B902" s="6" t="s">
        <v>1840</v>
      </c>
      <c r="C902" s="7" t="s">
        <v>1841</v>
      </c>
      <c r="D902" s="5">
        <v>100</v>
      </c>
      <c r="E902" s="5">
        <v>2</v>
      </c>
      <c r="F902" s="5" t="s">
        <v>22</v>
      </c>
      <c r="G902" s="5">
        <v>1</v>
      </c>
      <c r="H902" s="5" t="s">
        <v>29</v>
      </c>
      <c r="I902" s="5" t="s">
        <v>30</v>
      </c>
      <c r="J902" s="5">
        <v>1411102800</v>
      </c>
      <c r="K902" s="5">
        <v>1411189200</v>
      </c>
      <c r="L902" s="5" t="b">
        <v>0</v>
      </c>
      <c r="M902" s="5" t="b">
        <v>1</v>
      </c>
      <c r="N902" s="5" t="s">
        <v>36</v>
      </c>
      <c r="O902" s="8">
        <f t="shared" si="772"/>
        <v>0.02</v>
      </c>
      <c r="P902" s="9">
        <f t="shared" si="762"/>
        <v>2</v>
      </c>
      <c r="Q902" s="5" t="str" cm="1">
        <f t="array" ref="Q902:R902">_xlfn.TEXTSPLIT(N902,"/")</f>
        <v>technology</v>
      </c>
      <c r="R902" t="str">
        <v>web</v>
      </c>
      <c r="S902" s="10">
        <f t="shared" ref="S902:T902" si="908">(((J902/60)/60)/24)+DATE(1970,1,1)</f>
        <v>41901.208333333336</v>
      </c>
      <c r="T902" s="10">
        <f t="shared" si="908"/>
        <v>41902.208333333336</v>
      </c>
    </row>
    <row r="903" spans="1:20" ht="15.75" customHeight="1" x14ac:dyDescent="0.25">
      <c r="A903" s="5">
        <v>901</v>
      </c>
      <c r="B903" s="6" t="s">
        <v>1842</v>
      </c>
      <c r="C903" s="7" t="s">
        <v>1843</v>
      </c>
      <c r="D903" s="5">
        <v>5600</v>
      </c>
      <c r="E903" s="5">
        <v>8746</v>
      </c>
      <c r="F903" s="5" t="s">
        <v>28</v>
      </c>
      <c r="G903" s="5">
        <v>159</v>
      </c>
      <c r="H903" s="5" t="s">
        <v>29</v>
      </c>
      <c r="I903" s="5" t="s">
        <v>30</v>
      </c>
      <c r="J903" s="5">
        <v>1531803600</v>
      </c>
      <c r="K903" s="5">
        <v>1534654800</v>
      </c>
      <c r="L903" s="5" t="b">
        <v>0</v>
      </c>
      <c r="M903" s="5" t="b">
        <v>1</v>
      </c>
      <c r="N903" s="5" t="s">
        <v>31</v>
      </c>
      <c r="O903" s="8">
        <f t="shared" si="772"/>
        <v>1.5617857142857143</v>
      </c>
      <c r="P903" s="9">
        <f t="shared" si="762"/>
        <v>55.0062893081761</v>
      </c>
      <c r="Q903" s="5" t="str" cm="1">
        <f t="array" ref="Q903:R903">_xlfn.TEXTSPLIT(N903,"/")</f>
        <v>music</v>
      </c>
      <c r="R903" t="str">
        <v>rock</v>
      </c>
      <c r="S903" s="10">
        <f t="shared" ref="S903:T903" si="909">(((J903/60)/60)/24)+DATE(1970,1,1)</f>
        <v>43298.208333333328</v>
      </c>
      <c r="T903" s="10">
        <f t="shared" si="909"/>
        <v>43331.208333333328</v>
      </c>
    </row>
    <row r="904" spans="1:20" ht="15.75" customHeight="1" x14ac:dyDescent="0.25">
      <c r="A904" s="5">
        <v>902</v>
      </c>
      <c r="B904" s="6" t="s">
        <v>1844</v>
      </c>
      <c r="C904" s="7" t="s">
        <v>1845</v>
      </c>
      <c r="D904" s="5">
        <v>1400</v>
      </c>
      <c r="E904" s="5">
        <v>3534</v>
      </c>
      <c r="F904" s="5" t="s">
        <v>28</v>
      </c>
      <c r="G904" s="5">
        <v>110</v>
      </c>
      <c r="H904" s="5" t="s">
        <v>29</v>
      </c>
      <c r="I904" s="5" t="s">
        <v>30</v>
      </c>
      <c r="J904" s="5">
        <v>1454133600</v>
      </c>
      <c r="K904" s="5">
        <v>1457762400</v>
      </c>
      <c r="L904" s="5" t="b">
        <v>0</v>
      </c>
      <c r="M904" s="5" t="b">
        <v>0</v>
      </c>
      <c r="N904" s="5" t="s">
        <v>36</v>
      </c>
      <c r="O904" s="8">
        <f t="shared" si="772"/>
        <v>2.5242857142857145</v>
      </c>
      <c r="P904" s="9">
        <f t="shared" si="762"/>
        <v>32.127272727272725</v>
      </c>
      <c r="Q904" s="5" t="str" cm="1">
        <f t="array" ref="Q904:R904">_xlfn.TEXTSPLIT(N904,"/")</f>
        <v>technology</v>
      </c>
      <c r="R904" t="str">
        <v>web</v>
      </c>
      <c r="S904" s="10">
        <f t="shared" ref="S904:T904" si="910">(((J904/60)/60)/24)+DATE(1970,1,1)</f>
        <v>42399.25</v>
      </c>
      <c r="T904" s="10">
        <f t="shared" si="910"/>
        <v>42441.25</v>
      </c>
    </row>
    <row r="905" spans="1:20" ht="15.75" customHeight="1" x14ac:dyDescent="0.25">
      <c r="A905" s="5">
        <v>903</v>
      </c>
      <c r="B905" s="6" t="s">
        <v>1846</v>
      </c>
      <c r="C905" s="7" t="s">
        <v>1847</v>
      </c>
      <c r="D905" s="5">
        <v>41000</v>
      </c>
      <c r="E905" s="5">
        <v>709</v>
      </c>
      <c r="F905" s="5" t="s">
        <v>55</v>
      </c>
      <c r="G905" s="5">
        <v>14</v>
      </c>
      <c r="H905" s="5" t="s">
        <v>29</v>
      </c>
      <c r="I905" s="5" t="s">
        <v>30</v>
      </c>
      <c r="J905" s="5">
        <v>1336194000</v>
      </c>
      <c r="K905" s="5">
        <v>1337490000</v>
      </c>
      <c r="L905" s="5" t="b">
        <v>0</v>
      </c>
      <c r="M905" s="5" t="b">
        <v>1</v>
      </c>
      <c r="N905" s="5" t="s">
        <v>76</v>
      </c>
      <c r="O905" s="8">
        <f t="shared" si="772"/>
        <v>1.729268292682927E-2</v>
      </c>
      <c r="P905" s="9">
        <f t="shared" si="762"/>
        <v>50.642857142857146</v>
      </c>
      <c r="Q905" s="5" t="str" cm="1">
        <f t="array" ref="Q905:R905">_xlfn.TEXTSPLIT(N905,"/")</f>
        <v>publishing</v>
      </c>
      <c r="R905" t="str">
        <v>nonfiction</v>
      </c>
      <c r="S905" s="10">
        <f t="shared" ref="S905:T905" si="911">(((J905/60)/60)/24)+DATE(1970,1,1)</f>
        <v>41034.208333333336</v>
      </c>
      <c r="T905" s="10">
        <f t="shared" si="911"/>
        <v>41049.208333333336</v>
      </c>
    </row>
    <row r="906" spans="1:20" ht="15.75" customHeight="1" x14ac:dyDescent="0.25">
      <c r="A906" s="5">
        <v>904</v>
      </c>
      <c r="B906" s="6" t="s">
        <v>1848</v>
      </c>
      <c r="C906" s="7" t="s">
        <v>1849</v>
      </c>
      <c r="D906" s="5">
        <v>6500</v>
      </c>
      <c r="E906" s="5">
        <v>795</v>
      </c>
      <c r="F906" s="5" t="s">
        <v>22</v>
      </c>
      <c r="G906" s="5">
        <v>16</v>
      </c>
      <c r="H906" s="5" t="s">
        <v>29</v>
      </c>
      <c r="I906" s="5" t="s">
        <v>30</v>
      </c>
      <c r="J906" s="5">
        <v>1349326800</v>
      </c>
      <c r="K906" s="5">
        <v>1349672400</v>
      </c>
      <c r="L906" s="5" t="b">
        <v>0</v>
      </c>
      <c r="M906" s="5" t="b">
        <v>0</v>
      </c>
      <c r="N906" s="5" t="s">
        <v>141</v>
      </c>
      <c r="O906" s="8">
        <f t="shared" si="772"/>
        <v>0.12230769230769231</v>
      </c>
      <c r="P906" s="9">
        <f t="shared" si="762"/>
        <v>49.6875</v>
      </c>
      <c r="Q906" s="5" t="str" cm="1">
        <f t="array" ref="Q906:R906">_xlfn.TEXTSPLIT(N906,"/")</f>
        <v>publishing</v>
      </c>
      <c r="R906" t="str">
        <v>radio &amp; podcasts</v>
      </c>
      <c r="S906" s="10">
        <f t="shared" ref="S906:T906" si="912">(((J906/60)/60)/24)+DATE(1970,1,1)</f>
        <v>41186.208333333336</v>
      </c>
      <c r="T906" s="10">
        <f t="shared" si="912"/>
        <v>41190.208333333336</v>
      </c>
    </row>
    <row r="907" spans="1:20" ht="15.75" customHeight="1" x14ac:dyDescent="0.25">
      <c r="A907" s="5">
        <v>905</v>
      </c>
      <c r="B907" s="6" t="s">
        <v>1850</v>
      </c>
      <c r="C907" s="7" t="s">
        <v>1851</v>
      </c>
      <c r="D907" s="5">
        <v>7900</v>
      </c>
      <c r="E907" s="5">
        <v>12955</v>
      </c>
      <c r="F907" s="5" t="s">
        <v>28</v>
      </c>
      <c r="G907" s="5">
        <v>236</v>
      </c>
      <c r="H907" s="5" t="s">
        <v>29</v>
      </c>
      <c r="I907" s="5" t="s">
        <v>30</v>
      </c>
      <c r="J907" s="5">
        <v>1379566800</v>
      </c>
      <c r="K907" s="5">
        <v>1379826000</v>
      </c>
      <c r="L907" s="5" t="b">
        <v>0</v>
      </c>
      <c r="M907" s="5" t="b">
        <v>0</v>
      </c>
      <c r="N907" s="5" t="s">
        <v>41</v>
      </c>
      <c r="O907" s="8">
        <f t="shared" si="772"/>
        <v>1.6398734177215191</v>
      </c>
      <c r="P907" s="9">
        <f t="shared" si="762"/>
        <v>54.894067796610166</v>
      </c>
      <c r="Q907" s="5" t="str" cm="1">
        <f t="array" ref="Q907:R907">_xlfn.TEXTSPLIT(N907,"/")</f>
        <v>theater</v>
      </c>
      <c r="R907" t="str">
        <v>plays</v>
      </c>
      <c r="S907" s="10">
        <f t="shared" ref="S907:T907" si="913">(((J907/60)/60)/24)+DATE(1970,1,1)</f>
        <v>41536.208333333336</v>
      </c>
      <c r="T907" s="10">
        <f t="shared" si="913"/>
        <v>41539.208333333336</v>
      </c>
    </row>
    <row r="908" spans="1:20" ht="15.75" customHeight="1" x14ac:dyDescent="0.25">
      <c r="A908" s="5">
        <v>906</v>
      </c>
      <c r="B908" s="6" t="s">
        <v>1852</v>
      </c>
      <c r="C908" s="7" t="s">
        <v>1853</v>
      </c>
      <c r="D908" s="5">
        <v>5500</v>
      </c>
      <c r="E908" s="5">
        <v>8964</v>
      </c>
      <c r="F908" s="5" t="s">
        <v>28</v>
      </c>
      <c r="G908" s="5">
        <v>191</v>
      </c>
      <c r="H908" s="5" t="s">
        <v>29</v>
      </c>
      <c r="I908" s="5" t="s">
        <v>30</v>
      </c>
      <c r="J908" s="5">
        <v>1494651600</v>
      </c>
      <c r="K908" s="5">
        <v>1497762000</v>
      </c>
      <c r="L908" s="5" t="b">
        <v>1</v>
      </c>
      <c r="M908" s="5" t="b">
        <v>1</v>
      </c>
      <c r="N908" s="5" t="s">
        <v>50</v>
      </c>
      <c r="O908" s="8">
        <f t="shared" si="772"/>
        <v>1.6298181818181818</v>
      </c>
      <c r="P908" s="9">
        <f t="shared" si="762"/>
        <v>46.931937172774866</v>
      </c>
      <c r="Q908" s="5" t="str" cm="1">
        <f t="array" ref="Q908:R908">_xlfn.TEXTSPLIT(N908,"/")</f>
        <v>film &amp; video</v>
      </c>
      <c r="R908" t="str">
        <v>documentary</v>
      </c>
      <c r="S908" s="10">
        <f t="shared" ref="S908:T908" si="914">(((J908/60)/60)/24)+DATE(1970,1,1)</f>
        <v>42868.208333333328</v>
      </c>
      <c r="T908" s="10">
        <f t="shared" si="914"/>
        <v>42904.208333333328</v>
      </c>
    </row>
    <row r="909" spans="1:20" ht="15.75" customHeight="1" x14ac:dyDescent="0.25">
      <c r="A909" s="5">
        <v>907</v>
      </c>
      <c r="B909" s="6" t="s">
        <v>1854</v>
      </c>
      <c r="C909" s="7" t="s">
        <v>1855</v>
      </c>
      <c r="D909" s="5">
        <v>9100</v>
      </c>
      <c r="E909" s="5">
        <v>1843</v>
      </c>
      <c r="F909" s="5" t="s">
        <v>22</v>
      </c>
      <c r="G909" s="5">
        <v>41</v>
      </c>
      <c r="H909" s="5" t="s">
        <v>29</v>
      </c>
      <c r="I909" s="5" t="s">
        <v>30</v>
      </c>
      <c r="J909" s="5">
        <v>1303880400</v>
      </c>
      <c r="K909" s="5">
        <v>1304485200</v>
      </c>
      <c r="L909" s="5" t="b">
        <v>0</v>
      </c>
      <c r="M909" s="5" t="b">
        <v>0</v>
      </c>
      <c r="N909" s="5" t="s">
        <v>41</v>
      </c>
      <c r="O909" s="8">
        <f t="shared" si="772"/>
        <v>0.20252747252747252</v>
      </c>
      <c r="P909" s="9">
        <f t="shared" si="762"/>
        <v>44.951219512195124</v>
      </c>
      <c r="Q909" s="5" t="str" cm="1">
        <f t="array" ref="Q909:R909">_xlfn.TEXTSPLIT(N909,"/")</f>
        <v>theater</v>
      </c>
      <c r="R909" t="str">
        <v>plays</v>
      </c>
      <c r="S909" s="10">
        <f t="shared" ref="S909:T909" si="915">(((J909/60)/60)/24)+DATE(1970,1,1)</f>
        <v>40660.208333333336</v>
      </c>
      <c r="T909" s="10">
        <f t="shared" si="915"/>
        <v>40667.208333333336</v>
      </c>
    </row>
    <row r="910" spans="1:20" ht="15.75" customHeight="1" x14ac:dyDescent="0.25">
      <c r="A910" s="5">
        <v>908</v>
      </c>
      <c r="B910" s="6" t="s">
        <v>1856</v>
      </c>
      <c r="C910" s="7" t="s">
        <v>1857</v>
      </c>
      <c r="D910" s="5">
        <v>38200</v>
      </c>
      <c r="E910" s="5">
        <v>121950</v>
      </c>
      <c r="F910" s="5" t="s">
        <v>28</v>
      </c>
      <c r="G910" s="5">
        <v>3934</v>
      </c>
      <c r="H910" s="5" t="s">
        <v>29</v>
      </c>
      <c r="I910" s="5" t="s">
        <v>30</v>
      </c>
      <c r="J910" s="5">
        <v>1335934800</v>
      </c>
      <c r="K910" s="5">
        <v>1336885200</v>
      </c>
      <c r="L910" s="5" t="b">
        <v>0</v>
      </c>
      <c r="M910" s="5" t="b">
        <v>0</v>
      </c>
      <c r="N910" s="5" t="s">
        <v>97</v>
      </c>
      <c r="O910" s="8">
        <f t="shared" si="772"/>
        <v>3.1924083769633507</v>
      </c>
      <c r="P910" s="9">
        <f t="shared" si="762"/>
        <v>30.99898322318251</v>
      </c>
      <c r="Q910" s="5" t="str" cm="1">
        <f t="array" ref="Q910:R910">_xlfn.TEXTSPLIT(N910,"/")</f>
        <v>games</v>
      </c>
      <c r="R910" t="str">
        <v>video games</v>
      </c>
      <c r="S910" s="10">
        <f t="shared" ref="S910:T910" si="916">(((J910/60)/60)/24)+DATE(1970,1,1)</f>
        <v>41031.208333333336</v>
      </c>
      <c r="T910" s="10">
        <f t="shared" si="916"/>
        <v>41042.208333333336</v>
      </c>
    </row>
    <row r="911" spans="1:20" ht="15.75" customHeight="1" x14ac:dyDescent="0.25">
      <c r="A911" s="5">
        <v>909</v>
      </c>
      <c r="B911" s="6" t="s">
        <v>1858</v>
      </c>
      <c r="C911" s="7" t="s">
        <v>1859</v>
      </c>
      <c r="D911" s="5">
        <v>1800</v>
      </c>
      <c r="E911" s="5">
        <v>8621</v>
      </c>
      <c r="F911" s="5" t="s">
        <v>28</v>
      </c>
      <c r="G911" s="5">
        <v>80</v>
      </c>
      <c r="H911" s="5" t="s">
        <v>23</v>
      </c>
      <c r="I911" s="5" t="s">
        <v>24</v>
      </c>
      <c r="J911" s="5">
        <v>1528088400</v>
      </c>
      <c r="K911" s="5">
        <v>1530421200</v>
      </c>
      <c r="L911" s="5" t="b">
        <v>0</v>
      </c>
      <c r="M911" s="5" t="b">
        <v>1</v>
      </c>
      <c r="N911" s="5" t="s">
        <v>41</v>
      </c>
      <c r="O911" s="8">
        <f t="shared" si="772"/>
        <v>4.7894444444444444</v>
      </c>
      <c r="P911" s="9">
        <f t="shared" si="762"/>
        <v>107.7625</v>
      </c>
      <c r="Q911" s="5" t="str" cm="1">
        <f t="array" ref="Q911:R911">_xlfn.TEXTSPLIT(N911,"/")</f>
        <v>theater</v>
      </c>
      <c r="R911" t="str">
        <v>plays</v>
      </c>
      <c r="S911" s="10">
        <f t="shared" ref="S911:T911" si="917">(((J911/60)/60)/24)+DATE(1970,1,1)</f>
        <v>43255.208333333328</v>
      </c>
      <c r="T911" s="10">
        <f t="shared" si="917"/>
        <v>43282.208333333328</v>
      </c>
    </row>
    <row r="912" spans="1:20" ht="15.75" customHeight="1" x14ac:dyDescent="0.25">
      <c r="A912" s="5">
        <v>910</v>
      </c>
      <c r="B912" s="6" t="s">
        <v>1860</v>
      </c>
      <c r="C912" s="7" t="s">
        <v>1861</v>
      </c>
      <c r="D912" s="5">
        <v>154500</v>
      </c>
      <c r="E912" s="5">
        <v>30215</v>
      </c>
      <c r="F912" s="5" t="s">
        <v>82</v>
      </c>
      <c r="G912" s="5">
        <v>296</v>
      </c>
      <c r="H912" s="5" t="s">
        <v>29</v>
      </c>
      <c r="I912" s="5" t="s">
        <v>30</v>
      </c>
      <c r="J912" s="5">
        <v>1421906400</v>
      </c>
      <c r="K912" s="5">
        <v>1421992800</v>
      </c>
      <c r="L912" s="5" t="b">
        <v>0</v>
      </c>
      <c r="M912" s="5" t="b">
        <v>0</v>
      </c>
      <c r="N912" s="5" t="s">
        <v>41</v>
      </c>
      <c r="O912" s="8">
        <f t="shared" si="772"/>
        <v>0.19556634304207121</v>
      </c>
      <c r="P912" s="9">
        <f t="shared" si="762"/>
        <v>102.07770270270271</v>
      </c>
      <c r="Q912" s="5" t="str" cm="1">
        <f t="array" ref="Q912:R912">_xlfn.TEXTSPLIT(N912,"/")</f>
        <v>theater</v>
      </c>
      <c r="R912" t="str">
        <v>plays</v>
      </c>
      <c r="S912" s="10">
        <f t="shared" ref="S912:T912" si="918">(((J912/60)/60)/24)+DATE(1970,1,1)</f>
        <v>42026.25</v>
      </c>
      <c r="T912" s="10">
        <f t="shared" si="918"/>
        <v>42027.25</v>
      </c>
    </row>
    <row r="913" spans="1:20" ht="15.75" customHeight="1" x14ac:dyDescent="0.25">
      <c r="A913" s="5">
        <v>911</v>
      </c>
      <c r="B913" s="6" t="s">
        <v>1862</v>
      </c>
      <c r="C913" s="7" t="s">
        <v>1863</v>
      </c>
      <c r="D913" s="5">
        <v>5800</v>
      </c>
      <c r="E913" s="5">
        <v>11539</v>
      </c>
      <c r="F913" s="5" t="s">
        <v>28</v>
      </c>
      <c r="G913" s="5">
        <v>462</v>
      </c>
      <c r="H913" s="5" t="s">
        <v>29</v>
      </c>
      <c r="I913" s="5" t="s">
        <v>30</v>
      </c>
      <c r="J913" s="5">
        <v>1568005200</v>
      </c>
      <c r="K913" s="5">
        <v>1568178000</v>
      </c>
      <c r="L913" s="5" t="b">
        <v>1</v>
      </c>
      <c r="M913" s="5" t="b">
        <v>0</v>
      </c>
      <c r="N913" s="5" t="s">
        <v>36</v>
      </c>
      <c r="O913" s="8">
        <f t="shared" si="772"/>
        <v>1.9894827586206896</v>
      </c>
      <c r="P913" s="9">
        <f t="shared" si="762"/>
        <v>24.976190476190474</v>
      </c>
      <c r="Q913" s="5" t="str" cm="1">
        <f t="array" ref="Q913:R913">_xlfn.TEXTSPLIT(N913,"/")</f>
        <v>technology</v>
      </c>
      <c r="R913" t="str">
        <v>web</v>
      </c>
      <c r="S913" s="10">
        <f t="shared" ref="S913:T913" si="919">(((J913/60)/60)/24)+DATE(1970,1,1)</f>
        <v>43717.208333333328</v>
      </c>
      <c r="T913" s="10">
        <f t="shared" si="919"/>
        <v>43719.208333333328</v>
      </c>
    </row>
    <row r="914" spans="1:20" ht="15.75" customHeight="1" x14ac:dyDescent="0.25">
      <c r="A914" s="5">
        <v>912</v>
      </c>
      <c r="B914" s="6" t="s">
        <v>1864</v>
      </c>
      <c r="C914" s="7" t="s">
        <v>1865</v>
      </c>
      <c r="D914" s="5">
        <v>1800</v>
      </c>
      <c r="E914" s="5">
        <v>14310</v>
      </c>
      <c r="F914" s="5" t="s">
        <v>28</v>
      </c>
      <c r="G914" s="5">
        <v>179</v>
      </c>
      <c r="H914" s="5" t="s">
        <v>29</v>
      </c>
      <c r="I914" s="5" t="s">
        <v>30</v>
      </c>
      <c r="J914" s="5">
        <v>1346821200</v>
      </c>
      <c r="K914" s="5">
        <v>1347944400</v>
      </c>
      <c r="L914" s="5" t="b">
        <v>1</v>
      </c>
      <c r="M914" s="5" t="b">
        <v>0</v>
      </c>
      <c r="N914" s="5" t="s">
        <v>61</v>
      </c>
      <c r="O914" s="8">
        <f t="shared" si="772"/>
        <v>7.95</v>
      </c>
      <c r="P914" s="9">
        <f t="shared" si="762"/>
        <v>79.944134078212286</v>
      </c>
      <c r="Q914" s="5" t="str" cm="1">
        <f t="array" ref="Q914:R914">_xlfn.TEXTSPLIT(N914,"/")</f>
        <v>film &amp; video</v>
      </c>
      <c r="R914" t="str">
        <v>drama</v>
      </c>
      <c r="S914" s="10">
        <f t="shared" ref="S914:T914" si="920">(((J914/60)/60)/24)+DATE(1970,1,1)</f>
        <v>41157.208333333336</v>
      </c>
      <c r="T914" s="10">
        <f t="shared" si="920"/>
        <v>41170.208333333336</v>
      </c>
    </row>
    <row r="915" spans="1:20" ht="15.75" customHeight="1" x14ac:dyDescent="0.25">
      <c r="A915" s="5">
        <v>913</v>
      </c>
      <c r="B915" s="6" t="s">
        <v>1866</v>
      </c>
      <c r="C915" s="7" t="s">
        <v>1867</v>
      </c>
      <c r="D915" s="5">
        <v>70200</v>
      </c>
      <c r="E915" s="5">
        <v>35536</v>
      </c>
      <c r="F915" s="5" t="s">
        <v>22</v>
      </c>
      <c r="G915" s="5">
        <v>523</v>
      </c>
      <c r="H915" s="5" t="s">
        <v>34</v>
      </c>
      <c r="I915" s="5" t="s">
        <v>35</v>
      </c>
      <c r="J915" s="5">
        <v>1557637200</v>
      </c>
      <c r="K915" s="5">
        <v>1558760400</v>
      </c>
      <c r="L915" s="5" t="b">
        <v>0</v>
      </c>
      <c r="M915" s="5" t="b">
        <v>0</v>
      </c>
      <c r="N915" s="5" t="s">
        <v>61</v>
      </c>
      <c r="O915" s="8">
        <f t="shared" si="772"/>
        <v>0.50621082621082625</v>
      </c>
      <c r="P915" s="9">
        <f t="shared" si="762"/>
        <v>67.946462715105156</v>
      </c>
      <c r="Q915" s="5" t="str" cm="1">
        <f t="array" ref="Q915:R915">_xlfn.TEXTSPLIT(N915,"/")</f>
        <v>film &amp; video</v>
      </c>
      <c r="R915" t="str">
        <v>drama</v>
      </c>
      <c r="S915" s="10">
        <f t="shared" ref="S915:T915" si="921">(((J915/60)/60)/24)+DATE(1970,1,1)</f>
        <v>43597.208333333328</v>
      </c>
      <c r="T915" s="10">
        <f t="shared" si="921"/>
        <v>43610.208333333328</v>
      </c>
    </row>
    <row r="916" spans="1:20" ht="15.75" customHeight="1" x14ac:dyDescent="0.25">
      <c r="A916" s="5">
        <v>914</v>
      </c>
      <c r="B916" s="6" t="s">
        <v>1868</v>
      </c>
      <c r="C916" s="7" t="s">
        <v>1869</v>
      </c>
      <c r="D916" s="5">
        <v>6400</v>
      </c>
      <c r="E916" s="5">
        <v>3676</v>
      </c>
      <c r="F916" s="5" t="s">
        <v>22</v>
      </c>
      <c r="G916" s="5">
        <v>141</v>
      </c>
      <c r="H916" s="5" t="s">
        <v>48</v>
      </c>
      <c r="I916" s="5" t="s">
        <v>49</v>
      </c>
      <c r="J916" s="5">
        <v>1375592400</v>
      </c>
      <c r="K916" s="5">
        <v>1376629200</v>
      </c>
      <c r="L916" s="5" t="b">
        <v>0</v>
      </c>
      <c r="M916" s="5" t="b">
        <v>0</v>
      </c>
      <c r="N916" s="5" t="s">
        <v>41</v>
      </c>
      <c r="O916" s="8">
        <f t="shared" si="772"/>
        <v>0.57437499999999997</v>
      </c>
      <c r="P916" s="9">
        <f t="shared" si="762"/>
        <v>26.070921985815602</v>
      </c>
      <c r="Q916" s="5" t="str" cm="1">
        <f t="array" ref="Q916:R916">_xlfn.TEXTSPLIT(N916,"/")</f>
        <v>theater</v>
      </c>
      <c r="R916" t="str">
        <v>plays</v>
      </c>
      <c r="S916" s="10">
        <f t="shared" ref="S916:T916" si="922">(((J916/60)/60)/24)+DATE(1970,1,1)</f>
        <v>41490.208333333336</v>
      </c>
      <c r="T916" s="10">
        <f t="shared" si="922"/>
        <v>41502.208333333336</v>
      </c>
    </row>
    <row r="917" spans="1:20" ht="15.75" customHeight="1" x14ac:dyDescent="0.25">
      <c r="A917" s="5">
        <v>915</v>
      </c>
      <c r="B917" s="6" t="s">
        <v>1870</v>
      </c>
      <c r="C917" s="7" t="s">
        <v>1871</v>
      </c>
      <c r="D917" s="5">
        <v>125900</v>
      </c>
      <c r="E917" s="5">
        <v>195936</v>
      </c>
      <c r="F917" s="5" t="s">
        <v>28</v>
      </c>
      <c r="G917" s="5">
        <v>1866</v>
      </c>
      <c r="H917" s="5" t="s">
        <v>48</v>
      </c>
      <c r="I917" s="5" t="s">
        <v>49</v>
      </c>
      <c r="J917" s="5">
        <v>1503982800</v>
      </c>
      <c r="K917" s="5">
        <v>1504760400</v>
      </c>
      <c r="L917" s="5" t="b">
        <v>0</v>
      </c>
      <c r="M917" s="5" t="b">
        <v>0</v>
      </c>
      <c r="N917" s="5" t="s">
        <v>277</v>
      </c>
      <c r="O917" s="8">
        <f t="shared" si="772"/>
        <v>1.5562827640984909</v>
      </c>
      <c r="P917" s="9">
        <f t="shared" si="762"/>
        <v>105.0032154340836</v>
      </c>
      <c r="Q917" s="5" t="str" cm="1">
        <f t="array" ref="Q917:R917">_xlfn.TEXTSPLIT(N917,"/")</f>
        <v>film &amp; video</v>
      </c>
      <c r="R917" t="str">
        <v>television</v>
      </c>
      <c r="S917" s="10">
        <f t="shared" ref="S917:T917" si="923">(((J917/60)/60)/24)+DATE(1970,1,1)</f>
        <v>42976.208333333328</v>
      </c>
      <c r="T917" s="10">
        <f t="shared" si="923"/>
        <v>42985.208333333328</v>
      </c>
    </row>
    <row r="918" spans="1:20" ht="15.75" customHeight="1" x14ac:dyDescent="0.25">
      <c r="A918" s="5">
        <v>916</v>
      </c>
      <c r="B918" s="6" t="s">
        <v>1872</v>
      </c>
      <c r="C918" s="7" t="s">
        <v>1873</v>
      </c>
      <c r="D918" s="5">
        <v>3700</v>
      </c>
      <c r="E918" s="5">
        <v>1343</v>
      </c>
      <c r="F918" s="5" t="s">
        <v>22</v>
      </c>
      <c r="G918" s="5">
        <v>52</v>
      </c>
      <c r="H918" s="5" t="s">
        <v>29</v>
      </c>
      <c r="I918" s="5" t="s">
        <v>30</v>
      </c>
      <c r="J918" s="5">
        <v>1418882400</v>
      </c>
      <c r="K918" s="5">
        <v>1419660000</v>
      </c>
      <c r="L918" s="5" t="b">
        <v>0</v>
      </c>
      <c r="M918" s="5" t="b">
        <v>0</v>
      </c>
      <c r="N918" s="5" t="s">
        <v>130</v>
      </c>
      <c r="O918" s="8">
        <f t="shared" si="772"/>
        <v>0.36297297297297298</v>
      </c>
      <c r="P918" s="9">
        <f t="shared" si="762"/>
        <v>25.826923076923077</v>
      </c>
      <c r="Q918" s="5" t="str" cm="1">
        <f t="array" ref="Q918:R918">_xlfn.TEXTSPLIT(N918,"/")</f>
        <v>photography</v>
      </c>
      <c r="R918" t="str">
        <v>photography books</v>
      </c>
      <c r="S918" s="10">
        <f t="shared" ref="S918:T918" si="924">(((J918/60)/60)/24)+DATE(1970,1,1)</f>
        <v>41991.25</v>
      </c>
      <c r="T918" s="10">
        <f t="shared" si="924"/>
        <v>42000.25</v>
      </c>
    </row>
    <row r="919" spans="1:20" ht="15.75" customHeight="1" x14ac:dyDescent="0.25">
      <c r="A919" s="5">
        <v>917</v>
      </c>
      <c r="B919" s="6" t="s">
        <v>1874</v>
      </c>
      <c r="C919" s="7" t="s">
        <v>1875</v>
      </c>
      <c r="D919" s="5">
        <v>3600</v>
      </c>
      <c r="E919" s="5">
        <v>2097</v>
      </c>
      <c r="F919" s="5" t="s">
        <v>55</v>
      </c>
      <c r="G919" s="5">
        <v>27</v>
      </c>
      <c r="H919" s="5" t="s">
        <v>48</v>
      </c>
      <c r="I919" s="5" t="s">
        <v>49</v>
      </c>
      <c r="J919" s="5">
        <v>1309237200</v>
      </c>
      <c r="K919" s="5">
        <v>1311310800</v>
      </c>
      <c r="L919" s="5" t="b">
        <v>0</v>
      </c>
      <c r="M919" s="5" t="b">
        <v>1</v>
      </c>
      <c r="N919" s="5" t="s">
        <v>108</v>
      </c>
      <c r="O919" s="8">
        <f t="shared" si="772"/>
        <v>0.58250000000000002</v>
      </c>
      <c r="P919" s="9">
        <f t="shared" si="762"/>
        <v>77.666666666666671</v>
      </c>
      <c r="Q919" s="5" t="str" cm="1">
        <f t="array" ref="Q919:R919">_xlfn.TEXTSPLIT(N919,"/")</f>
        <v>film &amp; video</v>
      </c>
      <c r="R919" t="str">
        <v>shorts</v>
      </c>
      <c r="S919" s="10">
        <f t="shared" ref="S919:T919" si="925">(((J919/60)/60)/24)+DATE(1970,1,1)</f>
        <v>40722.208333333336</v>
      </c>
      <c r="T919" s="10">
        <f t="shared" si="925"/>
        <v>40746.208333333336</v>
      </c>
    </row>
    <row r="920" spans="1:20" ht="15.75" customHeight="1" x14ac:dyDescent="0.25">
      <c r="A920" s="5">
        <v>918</v>
      </c>
      <c r="B920" s="6" t="s">
        <v>1876</v>
      </c>
      <c r="C920" s="7" t="s">
        <v>1877</v>
      </c>
      <c r="D920" s="5">
        <v>3800</v>
      </c>
      <c r="E920" s="5">
        <v>9021</v>
      </c>
      <c r="F920" s="5" t="s">
        <v>28</v>
      </c>
      <c r="G920" s="5">
        <v>156</v>
      </c>
      <c r="H920" s="5" t="s">
        <v>106</v>
      </c>
      <c r="I920" s="5" t="s">
        <v>107</v>
      </c>
      <c r="J920" s="5">
        <v>1343365200</v>
      </c>
      <c r="K920" s="5">
        <v>1344315600</v>
      </c>
      <c r="L920" s="5" t="b">
        <v>0</v>
      </c>
      <c r="M920" s="5" t="b">
        <v>0</v>
      </c>
      <c r="N920" s="5" t="s">
        <v>141</v>
      </c>
      <c r="O920" s="8">
        <f t="shared" si="772"/>
        <v>2.3739473684210526</v>
      </c>
      <c r="P920" s="9">
        <f t="shared" si="762"/>
        <v>57.82692307692308</v>
      </c>
      <c r="Q920" s="5" t="str" cm="1">
        <f t="array" ref="Q920:R920">_xlfn.TEXTSPLIT(N920,"/")</f>
        <v>publishing</v>
      </c>
      <c r="R920" t="str">
        <v>radio &amp; podcasts</v>
      </c>
      <c r="S920" s="10">
        <f t="shared" ref="S920:T920" si="926">(((J920/60)/60)/24)+DATE(1970,1,1)</f>
        <v>41117.208333333336</v>
      </c>
      <c r="T920" s="10">
        <f t="shared" si="926"/>
        <v>41128.208333333336</v>
      </c>
    </row>
    <row r="921" spans="1:20" ht="15.75" customHeight="1" x14ac:dyDescent="0.25">
      <c r="A921" s="5">
        <v>919</v>
      </c>
      <c r="B921" s="6" t="s">
        <v>1878</v>
      </c>
      <c r="C921" s="7" t="s">
        <v>1879</v>
      </c>
      <c r="D921" s="5">
        <v>35600</v>
      </c>
      <c r="E921" s="5">
        <v>20915</v>
      </c>
      <c r="F921" s="5" t="s">
        <v>22</v>
      </c>
      <c r="G921" s="5">
        <v>225</v>
      </c>
      <c r="H921" s="5" t="s">
        <v>34</v>
      </c>
      <c r="I921" s="5" t="s">
        <v>35</v>
      </c>
      <c r="J921" s="5">
        <v>1507957200</v>
      </c>
      <c r="K921" s="5">
        <v>1510725600</v>
      </c>
      <c r="L921" s="5" t="b">
        <v>0</v>
      </c>
      <c r="M921" s="5" t="b">
        <v>1</v>
      </c>
      <c r="N921" s="5" t="s">
        <v>41</v>
      </c>
      <c r="O921" s="8">
        <f t="shared" si="772"/>
        <v>0.58750000000000002</v>
      </c>
      <c r="P921" s="9">
        <f t="shared" si="762"/>
        <v>92.955555555555549</v>
      </c>
      <c r="Q921" s="5" t="str" cm="1">
        <f t="array" ref="Q921:R921">_xlfn.TEXTSPLIT(N921,"/")</f>
        <v>theater</v>
      </c>
      <c r="R921" t="str">
        <v>plays</v>
      </c>
      <c r="S921" s="10">
        <f t="shared" ref="S921:T921" si="927">(((J921/60)/60)/24)+DATE(1970,1,1)</f>
        <v>43022.208333333328</v>
      </c>
      <c r="T921" s="10">
        <f t="shared" si="927"/>
        <v>43054.25</v>
      </c>
    </row>
    <row r="922" spans="1:20" ht="15.75" customHeight="1" x14ac:dyDescent="0.25">
      <c r="A922" s="5">
        <v>920</v>
      </c>
      <c r="B922" s="6" t="s">
        <v>1880</v>
      </c>
      <c r="C922" s="7" t="s">
        <v>1881</v>
      </c>
      <c r="D922" s="5">
        <v>5300</v>
      </c>
      <c r="E922" s="5">
        <v>9676</v>
      </c>
      <c r="F922" s="5" t="s">
        <v>28</v>
      </c>
      <c r="G922" s="5">
        <v>255</v>
      </c>
      <c r="H922" s="5" t="s">
        <v>29</v>
      </c>
      <c r="I922" s="5" t="s">
        <v>30</v>
      </c>
      <c r="J922" s="5">
        <v>1549519200</v>
      </c>
      <c r="K922" s="5">
        <v>1551247200</v>
      </c>
      <c r="L922" s="5" t="b">
        <v>1</v>
      </c>
      <c r="M922" s="5" t="b">
        <v>0</v>
      </c>
      <c r="N922" s="5" t="s">
        <v>79</v>
      </c>
      <c r="O922" s="8">
        <f t="shared" si="772"/>
        <v>1.8256603773584905</v>
      </c>
      <c r="P922" s="9">
        <f t="shared" si="762"/>
        <v>37.945098039215686</v>
      </c>
      <c r="Q922" s="5" t="str" cm="1">
        <f t="array" ref="Q922:R922">_xlfn.TEXTSPLIT(N922,"/")</f>
        <v>film &amp; video</v>
      </c>
      <c r="R922" t="str">
        <v>animation</v>
      </c>
      <c r="S922" s="10">
        <f t="shared" ref="S922:T922" si="928">(((J922/60)/60)/24)+DATE(1970,1,1)</f>
        <v>43503.25</v>
      </c>
      <c r="T922" s="10">
        <f t="shared" si="928"/>
        <v>43523.25</v>
      </c>
    </row>
    <row r="923" spans="1:20" ht="15.75" customHeight="1" x14ac:dyDescent="0.25">
      <c r="A923" s="5">
        <v>921</v>
      </c>
      <c r="B923" s="6" t="s">
        <v>1882</v>
      </c>
      <c r="C923" s="7" t="s">
        <v>1883</v>
      </c>
      <c r="D923" s="5">
        <v>160400</v>
      </c>
      <c r="E923" s="5">
        <v>1210</v>
      </c>
      <c r="F923" s="5" t="s">
        <v>22</v>
      </c>
      <c r="G923" s="5">
        <v>38</v>
      </c>
      <c r="H923" s="5" t="s">
        <v>29</v>
      </c>
      <c r="I923" s="5" t="s">
        <v>30</v>
      </c>
      <c r="J923" s="5">
        <v>1329026400</v>
      </c>
      <c r="K923" s="5">
        <v>1330236000</v>
      </c>
      <c r="L923" s="5" t="b">
        <v>0</v>
      </c>
      <c r="M923" s="5" t="b">
        <v>0</v>
      </c>
      <c r="N923" s="5" t="s">
        <v>36</v>
      </c>
      <c r="O923" s="8">
        <f t="shared" si="772"/>
        <v>7.5436408977556111E-3</v>
      </c>
      <c r="P923" s="9">
        <f t="shared" si="762"/>
        <v>31.842105263157894</v>
      </c>
      <c r="Q923" s="5" t="str" cm="1">
        <f t="array" ref="Q923:R923">_xlfn.TEXTSPLIT(N923,"/")</f>
        <v>technology</v>
      </c>
      <c r="R923" t="str">
        <v>web</v>
      </c>
      <c r="S923" s="10">
        <f t="shared" ref="S923:T923" si="929">(((J923/60)/60)/24)+DATE(1970,1,1)</f>
        <v>40951.25</v>
      </c>
      <c r="T923" s="10">
        <f t="shared" si="929"/>
        <v>40965.25</v>
      </c>
    </row>
    <row r="924" spans="1:20" ht="15.75" customHeight="1" x14ac:dyDescent="0.25">
      <c r="A924" s="5">
        <v>922</v>
      </c>
      <c r="B924" s="6" t="s">
        <v>1884</v>
      </c>
      <c r="C924" s="7" t="s">
        <v>1885</v>
      </c>
      <c r="D924" s="5">
        <v>51400</v>
      </c>
      <c r="E924" s="5">
        <v>90440</v>
      </c>
      <c r="F924" s="5" t="s">
        <v>28</v>
      </c>
      <c r="G924" s="5">
        <v>2261</v>
      </c>
      <c r="H924" s="5" t="s">
        <v>29</v>
      </c>
      <c r="I924" s="5" t="s">
        <v>30</v>
      </c>
      <c r="J924" s="5">
        <v>1544335200</v>
      </c>
      <c r="K924" s="5">
        <v>1545112800</v>
      </c>
      <c r="L924" s="5" t="b">
        <v>0</v>
      </c>
      <c r="M924" s="5" t="b">
        <v>1</v>
      </c>
      <c r="N924" s="5" t="s">
        <v>327</v>
      </c>
      <c r="O924" s="8">
        <f t="shared" si="772"/>
        <v>1.7595330739299611</v>
      </c>
      <c r="P924" s="9">
        <f t="shared" si="762"/>
        <v>40</v>
      </c>
      <c r="Q924" s="5" t="str" cm="1">
        <f t="array" ref="Q924:R924">_xlfn.TEXTSPLIT(N924,"/")</f>
        <v>music</v>
      </c>
      <c r="R924" t="str">
        <v>world music</v>
      </c>
      <c r="S924" s="10">
        <f t="shared" ref="S924:T924" si="930">(((J924/60)/60)/24)+DATE(1970,1,1)</f>
        <v>43443.25</v>
      </c>
      <c r="T924" s="10">
        <f t="shared" si="930"/>
        <v>43452.25</v>
      </c>
    </row>
    <row r="925" spans="1:20" ht="15.75" customHeight="1" x14ac:dyDescent="0.25">
      <c r="A925" s="5">
        <v>923</v>
      </c>
      <c r="B925" s="6" t="s">
        <v>1886</v>
      </c>
      <c r="C925" s="7" t="s">
        <v>1887</v>
      </c>
      <c r="D925" s="5">
        <v>1700</v>
      </c>
      <c r="E925" s="5">
        <v>4044</v>
      </c>
      <c r="F925" s="5" t="s">
        <v>28</v>
      </c>
      <c r="G925" s="5">
        <v>40</v>
      </c>
      <c r="H925" s="5" t="s">
        <v>29</v>
      </c>
      <c r="I925" s="5" t="s">
        <v>30</v>
      </c>
      <c r="J925" s="5">
        <v>1279083600</v>
      </c>
      <c r="K925" s="5">
        <v>1279170000</v>
      </c>
      <c r="L925" s="5" t="b">
        <v>0</v>
      </c>
      <c r="M925" s="5" t="b">
        <v>0</v>
      </c>
      <c r="N925" s="5" t="s">
        <v>41</v>
      </c>
      <c r="O925" s="8">
        <f t="shared" si="772"/>
        <v>2.3788235294117648</v>
      </c>
      <c r="P925" s="9">
        <f t="shared" si="762"/>
        <v>101.1</v>
      </c>
      <c r="Q925" s="5" t="str" cm="1">
        <f t="array" ref="Q925:R925">_xlfn.TEXTSPLIT(N925,"/")</f>
        <v>theater</v>
      </c>
      <c r="R925" t="str">
        <v>plays</v>
      </c>
      <c r="S925" s="10">
        <f t="shared" ref="S925:T925" si="931">(((J925/60)/60)/24)+DATE(1970,1,1)</f>
        <v>40373.208333333336</v>
      </c>
      <c r="T925" s="10">
        <f t="shared" si="931"/>
        <v>40374.208333333336</v>
      </c>
    </row>
    <row r="926" spans="1:20" ht="15.75" customHeight="1" x14ac:dyDescent="0.25">
      <c r="A926" s="5">
        <v>924</v>
      </c>
      <c r="B926" s="6" t="s">
        <v>1888</v>
      </c>
      <c r="C926" s="7" t="s">
        <v>1889</v>
      </c>
      <c r="D926" s="5">
        <v>39400</v>
      </c>
      <c r="E926" s="5">
        <v>192292</v>
      </c>
      <c r="F926" s="5" t="s">
        <v>28</v>
      </c>
      <c r="G926" s="5">
        <v>2289</v>
      </c>
      <c r="H926" s="5" t="s">
        <v>115</v>
      </c>
      <c r="I926" s="5" t="s">
        <v>116</v>
      </c>
      <c r="J926" s="5">
        <v>1572498000</v>
      </c>
      <c r="K926" s="5">
        <v>1573452000</v>
      </c>
      <c r="L926" s="5" t="b">
        <v>0</v>
      </c>
      <c r="M926" s="5" t="b">
        <v>0</v>
      </c>
      <c r="N926" s="5" t="s">
        <v>41</v>
      </c>
      <c r="O926" s="8">
        <f t="shared" si="772"/>
        <v>4.8805076142131982</v>
      </c>
      <c r="P926" s="9">
        <f t="shared" si="762"/>
        <v>84.006989951944078</v>
      </c>
      <c r="Q926" s="5" t="str" cm="1">
        <f t="array" ref="Q926:R926">_xlfn.TEXTSPLIT(N926,"/")</f>
        <v>theater</v>
      </c>
      <c r="R926" t="str">
        <v>plays</v>
      </c>
      <c r="S926" s="10">
        <f t="shared" ref="S926:T926" si="932">(((J926/60)/60)/24)+DATE(1970,1,1)</f>
        <v>43769.208333333328</v>
      </c>
      <c r="T926" s="10">
        <f t="shared" si="932"/>
        <v>43780.25</v>
      </c>
    </row>
    <row r="927" spans="1:20" ht="15.75" customHeight="1" x14ac:dyDescent="0.25">
      <c r="A927" s="5">
        <v>925</v>
      </c>
      <c r="B927" s="6" t="s">
        <v>1890</v>
      </c>
      <c r="C927" s="7" t="s">
        <v>1891</v>
      </c>
      <c r="D927" s="5">
        <v>3000</v>
      </c>
      <c r="E927" s="5">
        <v>6722</v>
      </c>
      <c r="F927" s="5" t="s">
        <v>28</v>
      </c>
      <c r="G927" s="5">
        <v>65</v>
      </c>
      <c r="H927" s="5" t="s">
        <v>29</v>
      </c>
      <c r="I927" s="5" t="s">
        <v>30</v>
      </c>
      <c r="J927" s="5">
        <v>1506056400</v>
      </c>
      <c r="K927" s="5">
        <v>1507093200</v>
      </c>
      <c r="L927" s="5" t="b">
        <v>0</v>
      </c>
      <c r="M927" s="5" t="b">
        <v>0</v>
      </c>
      <c r="N927" s="5" t="s">
        <v>41</v>
      </c>
      <c r="O927" s="8">
        <f t="shared" si="772"/>
        <v>2.2406666666666668</v>
      </c>
      <c r="P927" s="9">
        <f t="shared" si="762"/>
        <v>103.41538461538461</v>
      </c>
      <c r="Q927" s="5" t="str" cm="1">
        <f t="array" ref="Q927:R927">_xlfn.TEXTSPLIT(N927,"/")</f>
        <v>theater</v>
      </c>
      <c r="R927" t="str">
        <v>plays</v>
      </c>
      <c r="S927" s="10">
        <f t="shared" ref="S927:T927" si="933">(((J927/60)/60)/24)+DATE(1970,1,1)</f>
        <v>43000.208333333328</v>
      </c>
      <c r="T927" s="10">
        <f t="shared" si="933"/>
        <v>43012.208333333328</v>
      </c>
    </row>
    <row r="928" spans="1:20" ht="15.75" customHeight="1" x14ac:dyDescent="0.25">
      <c r="A928" s="5">
        <v>926</v>
      </c>
      <c r="B928" s="6" t="s">
        <v>1892</v>
      </c>
      <c r="C928" s="7" t="s">
        <v>1893</v>
      </c>
      <c r="D928" s="5">
        <v>8700</v>
      </c>
      <c r="E928" s="5">
        <v>1577</v>
      </c>
      <c r="F928" s="5" t="s">
        <v>22</v>
      </c>
      <c r="G928" s="5">
        <v>15</v>
      </c>
      <c r="H928" s="5" t="s">
        <v>29</v>
      </c>
      <c r="I928" s="5" t="s">
        <v>30</v>
      </c>
      <c r="J928" s="5">
        <v>1463029200</v>
      </c>
      <c r="K928" s="5">
        <v>1463374800</v>
      </c>
      <c r="L928" s="5" t="b">
        <v>0</v>
      </c>
      <c r="M928" s="5" t="b">
        <v>0</v>
      </c>
      <c r="N928" s="5" t="s">
        <v>25</v>
      </c>
      <c r="O928" s="8">
        <f t="shared" si="772"/>
        <v>0.18126436781609195</v>
      </c>
      <c r="P928" s="9">
        <f t="shared" si="762"/>
        <v>105.13333333333334</v>
      </c>
      <c r="Q928" s="5" t="str" cm="1">
        <f t="array" ref="Q928:R928">_xlfn.TEXTSPLIT(N928,"/")</f>
        <v>food</v>
      </c>
      <c r="R928" t="str">
        <v>food trucks</v>
      </c>
      <c r="S928" s="10">
        <f t="shared" ref="S928:T928" si="934">(((J928/60)/60)/24)+DATE(1970,1,1)</f>
        <v>42502.208333333328</v>
      </c>
      <c r="T928" s="10">
        <f t="shared" si="934"/>
        <v>42506.208333333328</v>
      </c>
    </row>
    <row r="929" spans="1:20" ht="15.75" customHeight="1" x14ac:dyDescent="0.25">
      <c r="A929" s="5">
        <v>927</v>
      </c>
      <c r="B929" s="6" t="s">
        <v>1894</v>
      </c>
      <c r="C929" s="7" t="s">
        <v>1895</v>
      </c>
      <c r="D929" s="5">
        <v>7200</v>
      </c>
      <c r="E929" s="5">
        <v>3301</v>
      </c>
      <c r="F929" s="5" t="s">
        <v>22</v>
      </c>
      <c r="G929" s="5">
        <v>37</v>
      </c>
      <c r="H929" s="5" t="s">
        <v>29</v>
      </c>
      <c r="I929" s="5" t="s">
        <v>30</v>
      </c>
      <c r="J929" s="5">
        <v>1342069200</v>
      </c>
      <c r="K929" s="5">
        <v>1344574800</v>
      </c>
      <c r="L929" s="5" t="b">
        <v>0</v>
      </c>
      <c r="M929" s="5" t="b">
        <v>0</v>
      </c>
      <c r="N929" s="5" t="s">
        <v>41</v>
      </c>
      <c r="O929" s="8">
        <f t="shared" si="772"/>
        <v>0.45847222222222223</v>
      </c>
      <c r="P929" s="9">
        <f t="shared" si="762"/>
        <v>89.21621621621621</v>
      </c>
      <c r="Q929" s="5" t="str" cm="1">
        <f t="array" ref="Q929:R929">_xlfn.TEXTSPLIT(N929,"/")</f>
        <v>theater</v>
      </c>
      <c r="R929" t="str">
        <v>plays</v>
      </c>
      <c r="S929" s="10">
        <f t="shared" ref="S929:T929" si="935">(((J929/60)/60)/24)+DATE(1970,1,1)</f>
        <v>41102.208333333336</v>
      </c>
      <c r="T929" s="10">
        <f t="shared" si="935"/>
        <v>41131.208333333336</v>
      </c>
    </row>
    <row r="930" spans="1:20" ht="15.75" customHeight="1" x14ac:dyDescent="0.25">
      <c r="A930" s="5">
        <v>928</v>
      </c>
      <c r="B930" s="6" t="s">
        <v>1896</v>
      </c>
      <c r="C930" s="7" t="s">
        <v>1897</v>
      </c>
      <c r="D930" s="5">
        <v>167400</v>
      </c>
      <c r="E930" s="5">
        <v>196386</v>
      </c>
      <c r="F930" s="5" t="s">
        <v>28</v>
      </c>
      <c r="G930" s="5">
        <v>3777</v>
      </c>
      <c r="H930" s="5" t="s">
        <v>115</v>
      </c>
      <c r="I930" s="5" t="s">
        <v>116</v>
      </c>
      <c r="J930" s="5">
        <v>1388296800</v>
      </c>
      <c r="K930" s="5">
        <v>1389074400</v>
      </c>
      <c r="L930" s="5" t="b">
        <v>0</v>
      </c>
      <c r="M930" s="5" t="b">
        <v>0</v>
      </c>
      <c r="N930" s="5" t="s">
        <v>36</v>
      </c>
      <c r="O930" s="8">
        <f t="shared" si="772"/>
        <v>1.1731541218637993</v>
      </c>
      <c r="P930" s="9">
        <f t="shared" si="762"/>
        <v>51.995234312946785</v>
      </c>
      <c r="Q930" s="5" t="str" cm="1">
        <f t="array" ref="Q930:R930">_xlfn.TEXTSPLIT(N930,"/")</f>
        <v>technology</v>
      </c>
      <c r="R930" t="str">
        <v>web</v>
      </c>
      <c r="S930" s="10">
        <f t="shared" ref="S930:T930" si="936">(((J930/60)/60)/24)+DATE(1970,1,1)</f>
        <v>41637.25</v>
      </c>
      <c r="T930" s="10">
        <f t="shared" si="936"/>
        <v>41646.25</v>
      </c>
    </row>
    <row r="931" spans="1:20" ht="15.75" customHeight="1" x14ac:dyDescent="0.25">
      <c r="A931" s="5">
        <v>929</v>
      </c>
      <c r="B931" s="6" t="s">
        <v>1898</v>
      </c>
      <c r="C931" s="7" t="s">
        <v>1899</v>
      </c>
      <c r="D931" s="5">
        <v>5500</v>
      </c>
      <c r="E931" s="5">
        <v>11952</v>
      </c>
      <c r="F931" s="5" t="s">
        <v>28</v>
      </c>
      <c r="G931" s="5">
        <v>184</v>
      </c>
      <c r="H931" s="5" t="s">
        <v>48</v>
      </c>
      <c r="I931" s="5" t="s">
        <v>49</v>
      </c>
      <c r="J931" s="5">
        <v>1493787600</v>
      </c>
      <c r="K931" s="5">
        <v>1494997200</v>
      </c>
      <c r="L931" s="5" t="b">
        <v>0</v>
      </c>
      <c r="M931" s="5" t="b">
        <v>0</v>
      </c>
      <c r="N931" s="5" t="s">
        <v>41</v>
      </c>
      <c r="O931" s="8">
        <f t="shared" si="772"/>
        <v>2.173090909090909</v>
      </c>
      <c r="P931" s="9">
        <f t="shared" si="762"/>
        <v>64.956521739130437</v>
      </c>
      <c r="Q931" s="5" t="str" cm="1">
        <f t="array" ref="Q931:R931">_xlfn.TEXTSPLIT(N931,"/")</f>
        <v>theater</v>
      </c>
      <c r="R931" t="str">
        <v>plays</v>
      </c>
      <c r="S931" s="10">
        <f t="shared" ref="S931:T931" si="937">(((J931/60)/60)/24)+DATE(1970,1,1)</f>
        <v>42858.208333333328</v>
      </c>
      <c r="T931" s="10">
        <f t="shared" si="937"/>
        <v>42872.208333333328</v>
      </c>
    </row>
    <row r="932" spans="1:20" ht="15.75" customHeight="1" x14ac:dyDescent="0.25">
      <c r="A932" s="5">
        <v>930</v>
      </c>
      <c r="B932" s="6" t="s">
        <v>1900</v>
      </c>
      <c r="C932" s="7" t="s">
        <v>1901</v>
      </c>
      <c r="D932" s="5">
        <v>3500</v>
      </c>
      <c r="E932" s="5">
        <v>3930</v>
      </c>
      <c r="F932" s="5" t="s">
        <v>28</v>
      </c>
      <c r="G932" s="5">
        <v>85</v>
      </c>
      <c r="H932" s="5" t="s">
        <v>29</v>
      </c>
      <c r="I932" s="5" t="s">
        <v>30</v>
      </c>
      <c r="J932" s="5">
        <v>1424844000</v>
      </c>
      <c r="K932" s="5">
        <v>1425448800</v>
      </c>
      <c r="L932" s="5" t="b">
        <v>0</v>
      </c>
      <c r="M932" s="5" t="b">
        <v>1</v>
      </c>
      <c r="N932" s="5" t="s">
        <v>41</v>
      </c>
      <c r="O932" s="8">
        <f t="shared" si="772"/>
        <v>1.1228571428571428</v>
      </c>
      <c r="P932" s="9">
        <f t="shared" si="762"/>
        <v>46.235294117647058</v>
      </c>
      <c r="Q932" s="5" t="str" cm="1">
        <f t="array" ref="Q932:R932">_xlfn.TEXTSPLIT(N932,"/")</f>
        <v>theater</v>
      </c>
      <c r="R932" t="str">
        <v>plays</v>
      </c>
      <c r="S932" s="10">
        <f t="shared" ref="S932:T932" si="938">(((J932/60)/60)/24)+DATE(1970,1,1)</f>
        <v>42060.25</v>
      </c>
      <c r="T932" s="10">
        <f t="shared" si="938"/>
        <v>42067.25</v>
      </c>
    </row>
    <row r="933" spans="1:20" ht="15.75" customHeight="1" x14ac:dyDescent="0.25">
      <c r="A933" s="5">
        <v>931</v>
      </c>
      <c r="B933" s="6" t="s">
        <v>1902</v>
      </c>
      <c r="C933" s="7" t="s">
        <v>1903</v>
      </c>
      <c r="D933" s="5">
        <v>7900</v>
      </c>
      <c r="E933" s="5">
        <v>5729</v>
      </c>
      <c r="F933" s="5" t="s">
        <v>22</v>
      </c>
      <c r="G933" s="5">
        <v>112</v>
      </c>
      <c r="H933" s="5" t="s">
        <v>29</v>
      </c>
      <c r="I933" s="5" t="s">
        <v>30</v>
      </c>
      <c r="J933" s="5">
        <v>1403931600</v>
      </c>
      <c r="K933" s="5">
        <v>1404104400</v>
      </c>
      <c r="L933" s="5" t="b">
        <v>0</v>
      </c>
      <c r="M933" s="5" t="b">
        <v>1</v>
      </c>
      <c r="N933" s="5" t="s">
        <v>41</v>
      </c>
      <c r="O933" s="8">
        <f t="shared" si="772"/>
        <v>0.72518987341772156</v>
      </c>
      <c r="P933" s="9">
        <f t="shared" si="762"/>
        <v>51.151785714285715</v>
      </c>
      <c r="Q933" s="5" t="str" cm="1">
        <f t="array" ref="Q933:R933">_xlfn.TEXTSPLIT(N933,"/")</f>
        <v>theater</v>
      </c>
      <c r="R933" t="str">
        <v>plays</v>
      </c>
      <c r="S933" s="10">
        <f t="shared" ref="S933:T933" si="939">(((J933/60)/60)/24)+DATE(1970,1,1)</f>
        <v>41818.208333333336</v>
      </c>
      <c r="T933" s="10">
        <f t="shared" si="939"/>
        <v>41820.208333333336</v>
      </c>
    </row>
    <row r="934" spans="1:20" ht="15.75" customHeight="1" x14ac:dyDescent="0.25">
      <c r="A934" s="5">
        <v>932</v>
      </c>
      <c r="B934" s="6" t="s">
        <v>1904</v>
      </c>
      <c r="C934" s="7" t="s">
        <v>1905</v>
      </c>
      <c r="D934" s="5">
        <v>2300</v>
      </c>
      <c r="E934" s="5">
        <v>4883</v>
      </c>
      <c r="F934" s="5" t="s">
        <v>28</v>
      </c>
      <c r="G934" s="5">
        <v>144</v>
      </c>
      <c r="H934" s="5" t="s">
        <v>29</v>
      </c>
      <c r="I934" s="5" t="s">
        <v>30</v>
      </c>
      <c r="J934" s="5">
        <v>1394514000</v>
      </c>
      <c r="K934" s="5">
        <v>1394773200</v>
      </c>
      <c r="L934" s="5" t="b">
        <v>0</v>
      </c>
      <c r="M934" s="5" t="b">
        <v>0</v>
      </c>
      <c r="N934" s="5" t="s">
        <v>31</v>
      </c>
      <c r="O934" s="8">
        <f t="shared" si="772"/>
        <v>2.1230434782608696</v>
      </c>
      <c r="P934" s="9">
        <f t="shared" si="762"/>
        <v>33.909722222222221</v>
      </c>
      <c r="Q934" s="5" t="str" cm="1">
        <f t="array" ref="Q934:R934">_xlfn.TEXTSPLIT(N934,"/")</f>
        <v>music</v>
      </c>
      <c r="R934" t="str">
        <v>rock</v>
      </c>
      <c r="S934" s="10">
        <f t="shared" ref="S934:T934" si="940">(((J934/60)/60)/24)+DATE(1970,1,1)</f>
        <v>41709.208333333336</v>
      </c>
      <c r="T934" s="10">
        <f t="shared" si="940"/>
        <v>41712.208333333336</v>
      </c>
    </row>
    <row r="935" spans="1:20" ht="15.75" customHeight="1" x14ac:dyDescent="0.25">
      <c r="A935" s="5">
        <v>933</v>
      </c>
      <c r="B935" s="6" t="s">
        <v>1906</v>
      </c>
      <c r="C935" s="7" t="s">
        <v>1907</v>
      </c>
      <c r="D935" s="5">
        <v>73000</v>
      </c>
      <c r="E935" s="5">
        <v>175015</v>
      </c>
      <c r="F935" s="5" t="s">
        <v>28</v>
      </c>
      <c r="G935" s="5">
        <v>1902</v>
      </c>
      <c r="H935" s="5" t="s">
        <v>29</v>
      </c>
      <c r="I935" s="5" t="s">
        <v>30</v>
      </c>
      <c r="J935" s="5">
        <v>1365397200</v>
      </c>
      <c r="K935" s="5">
        <v>1366520400</v>
      </c>
      <c r="L935" s="5" t="b">
        <v>0</v>
      </c>
      <c r="M935" s="5" t="b">
        <v>0</v>
      </c>
      <c r="N935" s="5" t="s">
        <v>41</v>
      </c>
      <c r="O935" s="8">
        <f t="shared" si="772"/>
        <v>2.3974657534246577</v>
      </c>
      <c r="P935" s="9">
        <f t="shared" si="762"/>
        <v>92.016298633017882</v>
      </c>
      <c r="Q935" s="5" t="str" cm="1">
        <f t="array" ref="Q935:R935">_xlfn.TEXTSPLIT(N935,"/")</f>
        <v>theater</v>
      </c>
      <c r="R935" t="str">
        <v>plays</v>
      </c>
      <c r="S935" s="10">
        <f t="shared" ref="S935:T935" si="941">(((J935/60)/60)/24)+DATE(1970,1,1)</f>
        <v>41372.208333333336</v>
      </c>
      <c r="T935" s="10">
        <f t="shared" si="941"/>
        <v>41385.208333333336</v>
      </c>
    </row>
    <row r="936" spans="1:20" ht="15.75" customHeight="1" x14ac:dyDescent="0.25">
      <c r="A936" s="5">
        <v>934</v>
      </c>
      <c r="B936" s="6" t="s">
        <v>1908</v>
      </c>
      <c r="C936" s="7" t="s">
        <v>1909</v>
      </c>
      <c r="D936" s="5">
        <v>6200</v>
      </c>
      <c r="E936" s="5">
        <v>11280</v>
      </c>
      <c r="F936" s="5" t="s">
        <v>28</v>
      </c>
      <c r="G936" s="5">
        <v>105</v>
      </c>
      <c r="H936" s="5" t="s">
        <v>29</v>
      </c>
      <c r="I936" s="5" t="s">
        <v>30</v>
      </c>
      <c r="J936" s="5">
        <v>1456120800</v>
      </c>
      <c r="K936" s="5">
        <v>1456639200</v>
      </c>
      <c r="L936" s="5" t="b">
        <v>0</v>
      </c>
      <c r="M936" s="5" t="b">
        <v>0</v>
      </c>
      <c r="N936" s="5" t="s">
        <v>41</v>
      </c>
      <c r="O936" s="8">
        <f t="shared" si="772"/>
        <v>1.8193548387096774</v>
      </c>
      <c r="P936" s="9">
        <f t="shared" si="762"/>
        <v>107.42857142857143</v>
      </c>
      <c r="Q936" s="5" t="str" cm="1">
        <f t="array" ref="Q936:R936">_xlfn.TEXTSPLIT(N936,"/")</f>
        <v>theater</v>
      </c>
      <c r="R936" t="str">
        <v>plays</v>
      </c>
      <c r="S936" s="10">
        <f t="shared" ref="S936:T936" si="942">(((J936/60)/60)/24)+DATE(1970,1,1)</f>
        <v>42422.25</v>
      </c>
      <c r="T936" s="10">
        <f t="shared" si="942"/>
        <v>42428.25</v>
      </c>
    </row>
    <row r="937" spans="1:20" ht="15.75" customHeight="1" x14ac:dyDescent="0.25">
      <c r="A937" s="5">
        <v>935</v>
      </c>
      <c r="B937" s="6" t="s">
        <v>1910</v>
      </c>
      <c r="C937" s="7" t="s">
        <v>1911</v>
      </c>
      <c r="D937" s="5">
        <v>6100</v>
      </c>
      <c r="E937" s="5">
        <v>10012</v>
      </c>
      <c r="F937" s="5" t="s">
        <v>28</v>
      </c>
      <c r="G937" s="5">
        <v>132</v>
      </c>
      <c r="H937" s="5" t="s">
        <v>29</v>
      </c>
      <c r="I937" s="5" t="s">
        <v>30</v>
      </c>
      <c r="J937" s="5">
        <v>1437714000</v>
      </c>
      <c r="K937" s="5">
        <v>1438318800</v>
      </c>
      <c r="L937" s="5" t="b">
        <v>0</v>
      </c>
      <c r="M937" s="5" t="b">
        <v>0</v>
      </c>
      <c r="N937" s="5" t="s">
        <v>41</v>
      </c>
      <c r="O937" s="8">
        <f t="shared" si="772"/>
        <v>1.6413114754098361</v>
      </c>
      <c r="P937" s="9">
        <f t="shared" si="762"/>
        <v>75.848484848484844</v>
      </c>
      <c r="Q937" s="5" t="str" cm="1">
        <f t="array" ref="Q937:R937">_xlfn.TEXTSPLIT(N937,"/")</f>
        <v>theater</v>
      </c>
      <c r="R937" t="str">
        <v>plays</v>
      </c>
      <c r="S937" s="10">
        <f t="shared" ref="S937:T937" si="943">(((J937/60)/60)/24)+DATE(1970,1,1)</f>
        <v>42209.208333333328</v>
      </c>
      <c r="T937" s="10">
        <f t="shared" si="943"/>
        <v>42216.208333333328</v>
      </c>
    </row>
    <row r="938" spans="1:20" ht="15.75" customHeight="1" x14ac:dyDescent="0.25">
      <c r="A938" s="5">
        <v>936</v>
      </c>
      <c r="B938" s="6" t="s">
        <v>1254</v>
      </c>
      <c r="C938" s="7" t="s">
        <v>1912</v>
      </c>
      <c r="D938" s="5">
        <v>103200</v>
      </c>
      <c r="E938" s="5">
        <v>1690</v>
      </c>
      <c r="F938" s="5" t="s">
        <v>22</v>
      </c>
      <c r="G938" s="5">
        <v>21</v>
      </c>
      <c r="H938" s="5" t="s">
        <v>29</v>
      </c>
      <c r="I938" s="5" t="s">
        <v>30</v>
      </c>
      <c r="J938" s="5">
        <v>1563771600</v>
      </c>
      <c r="K938" s="5">
        <v>1564030800</v>
      </c>
      <c r="L938" s="5" t="b">
        <v>1</v>
      </c>
      <c r="M938" s="5" t="b">
        <v>0</v>
      </c>
      <c r="N938" s="5" t="s">
        <v>41</v>
      </c>
      <c r="O938" s="8">
        <f t="shared" si="772"/>
        <v>1.6375968992248063E-2</v>
      </c>
      <c r="P938" s="9">
        <f t="shared" si="762"/>
        <v>80.476190476190482</v>
      </c>
      <c r="Q938" s="5" t="str" cm="1">
        <f t="array" ref="Q938:R938">_xlfn.TEXTSPLIT(N938,"/")</f>
        <v>theater</v>
      </c>
      <c r="R938" t="str">
        <v>plays</v>
      </c>
      <c r="S938" s="10">
        <f t="shared" ref="S938:T938" si="944">(((J938/60)/60)/24)+DATE(1970,1,1)</f>
        <v>43668.208333333328</v>
      </c>
      <c r="T938" s="10">
        <f t="shared" si="944"/>
        <v>43671.208333333328</v>
      </c>
    </row>
    <row r="939" spans="1:20" ht="15.75" customHeight="1" x14ac:dyDescent="0.25">
      <c r="A939" s="5">
        <v>937</v>
      </c>
      <c r="B939" s="6" t="s">
        <v>1913</v>
      </c>
      <c r="C939" s="7" t="s">
        <v>1914</v>
      </c>
      <c r="D939" s="5">
        <v>171000</v>
      </c>
      <c r="E939" s="5">
        <v>84891</v>
      </c>
      <c r="F939" s="5" t="s">
        <v>82</v>
      </c>
      <c r="G939" s="5">
        <v>976</v>
      </c>
      <c r="H939" s="5" t="s">
        <v>29</v>
      </c>
      <c r="I939" s="5" t="s">
        <v>30</v>
      </c>
      <c r="J939" s="5">
        <v>1448517600</v>
      </c>
      <c r="K939" s="5">
        <v>1449295200</v>
      </c>
      <c r="L939" s="5" t="b">
        <v>0</v>
      </c>
      <c r="M939" s="5" t="b">
        <v>0</v>
      </c>
      <c r="N939" s="5" t="s">
        <v>50</v>
      </c>
      <c r="O939" s="8">
        <f t="shared" si="772"/>
        <v>0.49643859649122807</v>
      </c>
      <c r="P939" s="9">
        <f t="shared" si="762"/>
        <v>86.978483606557376</v>
      </c>
      <c r="Q939" s="5" t="str" cm="1">
        <f t="array" ref="Q939:R939">_xlfn.TEXTSPLIT(N939,"/")</f>
        <v>film &amp; video</v>
      </c>
      <c r="R939" t="str">
        <v>documentary</v>
      </c>
      <c r="S939" s="10">
        <f t="shared" ref="S939:T939" si="945">(((J939/60)/60)/24)+DATE(1970,1,1)</f>
        <v>42334.25</v>
      </c>
      <c r="T939" s="10">
        <f t="shared" si="945"/>
        <v>42343.25</v>
      </c>
    </row>
    <row r="940" spans="1:20" ht="15.75" customHeight="1" x14ac:dyDescent="0.25">
      <c r="A940" s="5">
        <v>938</v>
      </c>
      <c r="B940" s="6" t="s">
        <v>1915</v>
      </c>
      <c r="C940" s="7" t="s">
        <v>1916</v>
      </c>
      <c r="D940" s="5">
        <v>9200</v>
      </c>
      <c r="E940" s="5">
        <v>10093</v>
      </c>
      <c r="F940" s="5" t="s">
        <v>28</v>
      </c>
      <c r="G940" s="5">
        <v>96</v>
      </c>
      <c r="H940" s="5" t="s">
        <v>29</v>
      </c>
      <c r="I940" s="5" t="s">
        <v>30</v>
      </c>
      <c r="J940" s="5">
        <v>1528779600</v>
      </c>
      <c r="K940" s="5">
        <v>1531890000</v>
      </c>
      <c r="L940" s="5" t="b">
        <v>0</v>
      </c>
      <c r="M940" s="5" t="b">
        <v>1</v>
      </c>
      <c r="N940" s="5" t="s">
        <v>127</v>
      </c>
      <c r="O940" s="8">
        <f t="shared" si="772"/>
        <v>1.0970652173913042</v>
      </c>
      <c r="P940" s="9">
        <f t="shared" si="762"/>
        <v>105.13541666666667</v>
      </c>
      <c r="Q940" s="5" t="str" cm="1">
        <f t="array" ref="Q940:R940">_xlfn.TEXTSPLIT(N940,"/")</f>
        <v>publishing</v>
      </c>
      <c r="R940" t="str">
        <v>fiction</v>
      </c>
      <c r="S940" s="10">
        <f t="shared" ref="S940:T940" si="946">(((J940/60)/60)/24)+DATE(1970,1,1)</f>
        <v>43263.208333333328</v>
      </c>
      <c r="T940" s="10">
        <f t="shared" si="946"/>
        <v>43299.208333333328</v>
      </c>
    </row>
    <row r="941" spans="1:20" ht="15.75" customHeight="1" x14ac:dyDescent="0.25">
      <c r="A941" s="5">
        <v>939</v>
      </c>
      <c r="B941" s="6" t="s">
        <v>1917</v>
      </c>
      <c r="C941" s="7" t="s">
        <v>1918</v>
      </c>
      <c r="D941" s="5">
        <v>7800</v>
      </c>
      <c r="E941" s="5">
        <v>3839</v>
      </c>
      <c r="F941" s="5" t="s">
        <v>22</v>
      </c>
      <c r="G941" s="5">
        <v>67</v>
      </c>
      <c r="H941" s="5" t="s">
        <v>29</v>
      </c>
      <c r="I941" s="5" t="s">
        <v>30</v>
      </c>
      <c r="J941" s="5">
        <v>1304744400</v>
      </c>
      <c r="K941" s="5">
        <v>1306213200</v>
      </c>
      <c r="L941" s="5" t="b">
        <v>0</v>
      </c>
      <c r="M941" s="5" t="b">
        <v>1</v>
      </c>
      <c r="N941" s="5" t="s">
        <v>97</v>
      </c>
      <c r="O941" s="8">
        <f t="shared" si="772"/>
        <v>0.49217948717948717</v>
      </c>
      <c r="P941" s="9">
        <f t="shared" si="762"/>
        <v>57.298507462686565</v>
      </c>
      <c r="Q941" s="5" t="str" cm="1">
        <f t="array" ref="Q941:R941">_xlfn.TEXTSPLIT(N941,"/")</f>
        <v>games</v>
      </c>
      <c r="R941" t="str">
        <v>video games</v>
      </c>
      <c r="S941" s="10">
        <f t="shared" ref="S941:T941" si="947">(((J941/60)/60)/24)+DATE(1970,1,1)</f>
        <v>40670.208333333336</v>
      </c>
      <c r="T941" s="10">
        <f t="shared" si="947"/>
        <v>40687.208333333336</v>
      </c>
    </row>
    <row r="942" spans="1:20" ht="15.75" customHeight="1" x14ac:dyDescent="0.25">
      <c r="A942" s="5">
        <v>940</v>
      </c>
      <c r="B942" s="6" t="s">
        <v>1919</v>
      </c>
      <c r="C942" s="7" t="s">
        <v>1920</v>
      </c>
      <c r="D942" s="5">
        <v>9900</v>
      </c>
      <c r="E942" s="5">
        <v>6161</v>
      </c>
      <c r="F942" s="5" t="s">
        <v>55</v>
      </c>
      <c r="G942" s="5">
        <v>66</v>
      </c>
      <c r="H942" s="5" t="s">
        <v>23</v>
      </c>
      <c r="I942" s="5" t="s">
        <v>24</v>
      </c>
      <c r="J942" s="5">
        <v>1354341600</v>
      </c>
      <c r="K942" s="5">
        <v>1356242400</v>
      </c>
      <c r="L942" s="5" t="b">
        <v>0</v>
      </c>
      <c r="M942" s="5" t="b">
        <v>0</v>
      </c>
      <c r="N942" s="5" t="s">
        <v>36</v>
      </c>
      <c r="O942" s="8">
        <f t="shared" si="772"/>
        <v>0.62232323232323228</v>
      </c>
      <c r="P942" s="9">
        <f t="shared" si="762"/>
        <v>93.348484848484844</v>
      </c>
      <c r="Q942" s="5" t="str" cm="1">
        <f t="array" ref="Q942:R942">_xlfn.TEXTSPLIT(N942,"/")</f>
        <v>technology</v>
      </c>
      <c r="R942" t="str">
        <v>web</v>
      </c>
      <c r="S942" s="10">
        <f t="shared" ref="S942:T942" si="948">(((J942/60)/60)/24)+DATE(1970,1,1)</f>
        <v>41244.25</v>
      </c>
      <c r="T942" s="10">
        <f t="shared" si="948"/>
        <v>41266.25</v>
      </c>
    </row>
    <row r="943" spans="1:20" ht="15.75" customHeight="1" x14ac:dyDescent="0.25">
      <c r="A943" s="5">
        <v>941</v>
      </c>
      <c r="B943" s="6" t="s">
        <v>1921</v>
      </c>
      <c r="C943" s="7" t="s">
        <v>1922</v>
      </c>
      <c r="D943" s="5">
        <v>43000</v>
      </c>
      <c r="E943" s="5">
        <v>5615</v>
      </c>
      <c r="F943" s="5" t="s">
        <v>22</v>
      </c>
      <c r="G943" s="5">
        <v>78</v>
      </c>
      <c r="H943" s="5" t="s">
        <v>29</v>
      </c>
      <c r="I943" s="5" t="s">
        <v>30</v>
      </c>
      <c r="J943" s="5">
        <v>1294552800</v>
      </c>
      <c r="K943" s="5">
        <v>1297576800</v>
      </c>
      <c r="L943" s="5" t="b">
        <v>1</v>
      </c>
      <c r="M943" s="5" t="b">
        <v>0</v>
      </c>
      <c r="N943" s="5" t="s">
        <v>41</v>
      </c>
      <c r="O943" s="8">
        <f t="shared" si="772"/>
        <v>0.1305813953488372</v>
      </c>
      <c r="P943" s="9">
        <f t="shared" si="762"/>
        <v>71.987179487179489</v>
      </c>
      <c r="Q943" s="5" t="str" cm="1">
        <f t="array" ref="Q943:R943">_xlfn.TEXTSPLIT(N943,"/")</f>
        <v>theater</v>
      </c>
      <c r="R943" t="str">
        <v>plays</v>
      </c>
      <c r="S943" s="10">
        <f t="shared" ref="S943:T943" si="949">(((J943/60)/60)/24)+DATE(1970,1,1)</f>
        <v>40552.25</v>
      </c>
      <c r="T943" s="10">
        <f t="shared" si="949"/>
        <v>40587.25</v>
      </c>
    </row>
    <row r="944" spans="1:20" ht="15.75" customHeight="1" x14ac:dyDescent="0.25">
      <c r="A944" s="5">
        <v>942</v>
      </c>
      <c r="B944" s="6" t="s">
        <v>1915</v>
      </c>
      <c r="C944" s="7" t="s">
        <v>1923</v>
      </c>
      <c r="D944" s="5">
        <v>9600</v>
      </c>
      <c r="E944" s="5">
        <v>6205</v>
      </c>
      <c r="F944" s="5" t="s">
        <v>22</v>
      </c>
      <c r="G944" s="5">
        <v>67</v>
      </c>
      <c r="H944" s="5" t="s">
        <v>34</v>
      </c>
      <c r="I944" s="5" t="s">
        <v>35</v>
      </c>
      <c r="J944" s="5">
        <v>1295935200</v>
      </c>
      <c r="K944" s="5">
        <v>1296194400</v>
      </c>
      <c r="L944" s="5" t="b">
        <v>0</v>
      </c>
      <c r="M944" s="5" t="b">
        <v>0</v>
      </c>
      <c r="N944" s="5" t="s">
        <v>41</v>
      </c>
      <c r="O944" s="8">
        <f t="shared" si="772"/>
        <v>0.64635416666666667</v>
      </c>
      <c r="P944" s="9">
        <f t="shared" si="762"/>
        <v>92.611940298507463</v>
      </c>
      <c r="Q944" s="5" t="str" cm="1">
        <f t="array" ref="Q944:R944">_xlfn.TEXTSPLIT(N944,"/")</f>
        <v>theater</v>
      </c>
      <c r="R944" t="str">
        <v>plays</v>
      </c>
      <c r="S944" s="10">
        <f t="shared" ref="S944:T944" si="950">(((J944/60)/60)/24)+DATE(1970,1,1)</f>
        <v>40568.25</v>
      </c>
      <c r="T944" s="10">
        <f t="shared" si="950"/>
        <v>40571.25</v>
      </c>
    </row>
    <row r="945" spans="1:20" ht="15.75" customHeight="1" x14ac:dyDescent="0.25">
      <c r="A945" s="5">
        <v>943</v>
      </c>
      <c r="B945" s="6" t="s">
        <v>1924</v>
      </c>
      <c r="C945" s="7" t="s">
        <v>1925</v>
      </c>
      <c r="D945" s="5">
        <v>7500</v>
      </c>
      <c r="E945" s="5">
        <v>11969</v>
      </c>
      <c r="F945" s="5" t="s">
        <v>28</v>
      </c>
      <c r="G945" s="5">
        <v>114</v>
      </c>
      <c r="H945" s="5" t="s">
        <v>29</v>
      </c>
      <c r="I945" s="5" t="s">
        <v>30</v>
      </c>
      <c r="J945" s="5">
        <v>1411534800</v>
      </c>
      <c r="K945" s="5">
        <v>1414558800</v>
      </c>
      <c r="L945" s="5" t="b">
        <v>0</v>
      </c>
      <c r="M945" s="5" t="b">
        <v>0</v>
      </c>
      <c r="N945" s="5" t="s">
        <v>25</v>
      </c>
      <c r="O945" s="8">
        <f t="shared" si="772"/>
        <v>1.5958666666666668</v>
      </c>
      <c r="P945" s="9">
        <f t="shared" si="762"/>
        <v>104.99122807017544</v>
      </c>
      <c r="Q945" s="5" t="str" cm="1">
        <f t="array" ref="Q945:R945">_xlfn.TEXTSPLIT(N945,"/")</f>
        <v>food</v>
      </c>
      <c r="R945" t="str">
        <v>food trucks</v>
      </c>
      <c r="S945" s="10">
        <f t="shared" ref="S945:T945" si="951">(((J945/60)/60)/24)+DATE(1970,1,1)</f>
        <v>41906.208333333336</v>
      </c>
      <c r="T945" s="10">
        <f t="shared" si="951"/>
        <v>41941.208333333336</v>
      </c>
    </row>
    <row r="946" spans="1:20" ht="15.75" customHeight="1" x14ac:dyDescent="0.25">
      <c r="A946" s="5">
        <v>944</v>
      </c>
      <c r="B946" s="6" t="s">
        <v>1926</v>
      </c>
      <c r="C946" s="7" t="s">
        <v>1927</v>
      </c>
      <c r="D946" s="5">
        <v>10000</v>
      </c>
      <c r="E946" s="5">
        <v>8142</v>
      </c>
      <c r="F946" s="5" t="s">
        <v>22</v>
      </c>
      <c r="G946" s="5">
        <v>263</v>
      </c>
      <c r="H946" s="5" t="s">
        <v>34</v>
      </c>
      <c r="I946" s="5" t="s">
        <v>35</v>
      </c>
      <c r="J946" s="5">
        <v>1486706400</v>
      </c>
      <c r="K946" s="5">
        <v>1488348000</v>
      </c>
      <c r="L946" s="5" t="b">
        <v>0</v>
      </c>
      <c r="M946" s="5" t="b">
        <v>0</v>
      </c>
      <c r="N946" s="5" t="s">
        <v>130</v>
      </c>
      <c r="O946" s="8">
        <f t="shared" si="772"/>
        <v>0.81420000000000003</v>
      </c>
      <c r="P946" s="9">
        <f t="shared" si="762"/>
        <v>30.958174904942965</v>
      </c>
      <c r="Q946" s="5" t="str" cm="1">
        <f t="array" ref="Q946:R946">_xlfn.TEXTSPLIT(N946,"/")</f>
        <v>photography</v>
      </c>
      <c r="R946" t="str">
        <v>photography books</v>
      </c>
      <c r="S946" s="10">
        <f t="shared" ref="S946:T946" si="952">(((J946/60)/60)/24)+DATE(1970,1,1)</f>
        <v>42776.25</v>
      </c>
      <c r="T946" s="10">
        <f t="shared" si="952"/>
        <v>42795.25</v>
      </c>
    </row>
    <row r="947" spans="1:20" ht="15.75" customHeight="1" x14ac:dyDescent="0.25">
      <c r="A947" s="5">
        <v>945</v>
      </c>
      <c r="B947" s="6" t="s">
        <v>1928</v>
      </c>
      <c r="C947" s="7" t="s">
        <v>1929</v>
      </c>
      <c r="D947" s="5">
        <v>172000</v>
      </c>
      <c r="E947" s="5">
        <v>55805</v>
      </c>
      <c r="F947" s="5" t="s">
        <v>22</v>
      </c>
      <c r="G947" s="5">
        <v>1691</v>
      </c>
      <c r="H947" s="5" t="s">
        <v>29</v>
      </c>
      <c r="I947" s="5" t="s">
        <v>30</v>
      </c>
      <c r="J947" s="5">
        <v>1333602000</v>
      </c>
      <c r="K947" s="5">
        <v>1334898000</v>
      </c>
      <c r="L947" s="5" t="b">
        <v>1</v>
      </c>
      <c r="M947" s="5" t="b">
        <v>0</v>
      </c>
      <c r="N947" s="5" t="s">
        <v>130</v>
      </c>
      <c r="O947" s="8">
        <f t="shared" si="772"/>
        <v>0.32444767441860467</v>
      </c>
      <c r="P947" s="9">
        <f t="shared" si="762"/>
        <v>33.001182732111175</v>
      </c>
      <c r="Q947" s="5" t="str" cm="1">
        <f t="array" ref="Q947:R947">_xlfn.TEXTSPLIT(N947,"/")</f>
        <v>photography</v>
      </c>
      <c r="R947" t="str">
        <v>photography books</v>
      </c>
      <c r="S947" s="10">
        <f t="shared" ref="S947:T947" si="953">(((J947/60)/60)/24)+DATE(1970,1,1)</f>
        <v>41004.208333333336</v>
      </c>
      <c r="T947" s="10">
        <f t="shared" si="953"/>
        <v>41019.208333333336</v>
      </c>
    </row>
    <row r="948" spans="1:20" ht="15.75" customHeight="1" x14ac:dyDescent="0.25">
      <c r="A948" s="5">
        <v>946</v>
      </c>
      <c r="B948" s="6" t="s">
        <v>1930</v>
      </c>
      <c r="C948" s="7" t="s">
        <v>1931</v>
      </c>
      <c r="D948" s="5">
        <v>153700</v>
      </c>
      <c r="E948" s="5">
        <v>15238</v>
      </c>
      <c r="F948" s="5" t="s">
        <v>22</v>
      </c>
      <c r="G948" s="5">
        <v>181</v>
      </c>
      <c r="H948" s="5" t="s">
        <v>29</v>
      </c>
      <c r="I948" s="5" t="s">
        <v>30</v>
      </c>
      <c r="J948" s="5">
        <v>1308200400</v>
      </c>
      <c r="K948" s="5">
        <v>1308373200</v>
      </c>
      <c r="L948" s="5" t="b">
        <v>0</v>
      </c>
      <c r="M948" s="5" t="b">
        <v>0</v>
      </c>
      <c r="N948" s="5" t="s">
        <v>41</v>
      </c>
      <c r="O948" s="8">
        <f t="shared" si="772"/>
        <v>9.9141184124918666E-2</v>
      </c>
      <c r="P948" s="9">
        <f t="shared" si="762"/>
        <v>84.187845303867405</v>
      </c>
      <c r="Q948" s="5" t="str" cm="1">
        <f t="array" ref="Q948:R948">_xlfn.TEXTSPLIT(N948,"/")</f>
        <v>theater</v>
      </c>
      <c r="R948" t="str">
        <v>plays</v>
      </c>
      <c r="S948" s="10">
        <f t="shared" ref="S948:T948" si="954">(((J948/60)/60)/24)+DATE(1970,1,1)</f>
        <v>40710.208333333336</v>
      </c>
      <c r="T948" s="10">
        <f t="shared" si="954"/>
        <v>40712.208333333336</v>
      </c>
    </row>
    <row r="949" spans="1:20" ht="15.75" customHeight="1" x14ac:dyDescent="0.25">
      <c r="A949" s="5">
        <v>947</v>
      </c>
      <c r="B949" s="6" t="s">
        <v>1932</v>
      </c>
      <c r="C949" s="7" t="s">
        <v>1933</v>
      </c>
      <c r="D949" s="5">
        <v>3600</v>
      </c>
      <c r="E949" s="5">
        <v>961</v>
      </c>
      <c r="F949" s="5" t="s">
        <v>22</v>
      </c>
      <c r="G949" s="5">
        <v>13</v>
      </c>
      <c r="H949" s="5" t="s">
        <v>29</v>
      </c>
      <c r="I949" s="5" t="s">
        <v>30</v>
      </c>
      <c r="J949" s="5">
        <v>1411707600</v>
      </c>
      <c r="K949" s="5">
        <v>1412312400</v>
      </c>
      <c r="L949" s="5" t="b">
        <v>0</v>
      </c>
      <c r="M949" s="5" t="b">
        <v>0</v>
      </c>
      <c r="N949" s="5" t="s">
        <v>41</v>
      </c>
      <c r="O949" s="8">
        <f t="shared" si="772"/>
        <v>0.26694444444444443</v>
      </c>
      <c r="P949" s="9">
        <f t="shared" si="762"/>
        <v>73.92307692307692</v>
      </c>
      <c r="Q949" s="5" t="str" cm="1">
        <f t="array" ref="Q949:R949">_xlfn.TEXTSPLIT(N949,"/")</f>
        <v>theater</v>
      </c>
      <c r="R949" t="str">
        <v>plays</v>
      </c>
      <c r="S949" s="10">
        <f t="shared" ref="S949:T949" si="955">(((J949/60)/60)/24)+DATE(1970,1,1)</f>
        <v>41908.208333333336</v>
      </c>
      <c r="T949" s="10">
        <f t="shared" si="955"/>
        <v>41915.208333333336</v>
      </c>
    </row>
    <row r="950" spans="1:20" ht="15.75" customHeight="1" x14ac:dyDescent="0.25">
      <c r="A950" s="5">
        <v>948</v>
      </c>
      <c r="B950" s="6" t="s">
        <v>1934</v>
      </c>
      <c r="C950" s="7" t="s">
        <v>1935</v>
      </c>
      <c r="D950" s="5">
        <v>9400</v>
      </c>
      <c r="E950" s="5">
        <v>5918</v>
      </c>
      <c r="F950" s="5" t="s">
        <v>82</v>
      </c>
      <c r="G950" s="5">
        <v>160</v>
      </c>
      <c r="H950" s="5" t="s">
        <v>29</v>
      </c>
      <c r="I950" s="5" t="s">
        <v>30</v>
      </c>
      <c r="J950" s="5">
        <v>1418364000</v>
      </c>
      <c r="K950" s="5">
        <v>1419228000</v>
      </c>
      <c r="L950" s="5" t="b">
        <v>1</v>
      </c>
      <c r="M950" s="5" t="b">
        <v>1</v>
      </c>
      <c r="N950" s="5" t="s">
        <v>50</v>
      </c>
      <c r="O950" s="8">
        <f t="shared" si="772"/>
        <v>0.62957446808510642</v>
      </c>
      <c r="P950" s="9">
        <f t="shared" si="762"/>
        <v>36.987499999999997</v>
      </c>
      <c r="Q950" s="5" t="str" cm="1">
        <f t="array" ref="Q950:R950">_xlfn.TEXTSPLIT(N950,"/")</f>
        <v>film &amp; video</v>
      </c>
      <c r="R950" t="str">
        <v>documentary</v>
      </c>
      <c r="S950" s="10">
        <f t="shared" ref="S950:T950" si="956">(((J950/60)/60)/24)+DATE(1970,1,1)</f>
        <v>41985.25</v>
      </c>
      <c r="T950" s="10">
        <f t="shared" si="956"/>
        <v>41995.25</v>
      </c>
    </row>
    <row r="951" spans="1:20" ht="15.75" customHeight="1" x14ac:dyDescent="0.25">
      <c r="A951" s="5">
        <v>949</v>
      </c>
      <c r="B951" s="6" t="s">
        <v>1936</v>
      </c>
      <c r="C951" s="7" t="s">
        <v>1937</v>
      </c>
      <c r="D951" s="5">
        <v>5900</v>
      </c>
      <c r="E951" s="5">
        <v>9520</v>
      </c>
      <c r="F951" s="5" t="s">
        <v>28</v>
      </c>
      <c r="G951" s="5">
        <v>203</v>
      </c>
      <c r="H951" s="5" t="s">
        <v>29</v>
      </c>
      <c r="I951" s="5" t="s">
        <v>30</v>
      </c>
      <c r="J951" s="5">
        <v>1429333200</v>
      </c>
      <c r="K951" s="5">
        <v>1430974800</v>
      </c>
      <c r="L951" s="5" t="b">
        <v>0</v>
      </c>
      <c r="M951" s="5" t="b">
        <v>0</v>
      </c>
      <c r="N951" s="5" t="s">
        <v>36</v>
      </c>
      <c r="O951" s="8">
        <f t="shared" si="772"/>
        <v>1.6135593220338984</v>
      </c>
      <c r="P951" s="9">
        <f t="shared" si="762"/>
        <v>46.896551724137929</v>
      </c>
      <c r="Q951" s="5" t="str" cm="1">
        <f t="array" ref="Q951:R951">_xlfn.TEXTSPLIT(N951,"/")</f>
        <v>technology</v>
      </c>
      <c r="R951" t="str">
        <v>web</v>
      </c>
      <c r="S951" s="10">
        <f t="shared" ref="S951:T951" si="957">(((J951/60)/60)/24)+DATE(1970,1,1)</f>
        <v>42112.208333333328</v>
      </c>
      <c r="T951" s="10">
        <f t="shared" si="957"/>
        <v>42131.208333333328</v>
      </c>
    </row>
    <row r="952" spans="1:20" ht="15.75" customHeight="1" x14ac:dyDescent="0.25">
      <c r="A952" s="5">
        <v>950</v>
      </c>
      <c r="B952" s="6" t="s">
        <v>1938</v>
      </c>
      <c r="C952" s="7" t="s">
        <v>1939</v>
      </c>
      <c r="D952" s="5">
        <v>100</v>
      </c>
      <c r="E952" s="5">
        <v>5</v>
      </c>
      <c r="F952" s="5" t="s">
        <v>22</v>
      </c>
      <c r="G952" s="5">
        <v>1</v>
      </c>
      <c r="H952" s="5" t="s">
        <v>29</v>
      </c>
      <c r="I952" s="5" t="s">
        <v>30</v>
      </c>
      <c r="J952" s="5">
        <v>1555390800</v>
      </c>
      <c r="K952" s="5">
        <v>1555822800</v>
      </c>
      <c r="L952" s="5" t="b">
        <v>0</v>
      </c>
      <c r="M952" s="5" t="b">
        <v>1</v>
      </c>
      <c r="N952" s="5" t="s">
        <v>41</v>
      </c>
      <c r="O952" s="8">
        <f t="shared" si="772"/>
        <v>0.05</v>
      </c>
      <c r="P952" s="9">
        <f t="shared" si="762"/>
        <v>5</v>
      </c>
      <c r="Q952" s="5" t="str" cm="1">
        <f t="array" ref="Q952:R952">_xlfn.TEXTSPLIT(N952,"/")</f>
        <v>theater</v>
      </c>
      <c r="R952" t="str">
        <v>plays</v>
      </c>
      <c r="S952" s="10">
        <f t="shared" ref="S952:T952" si="958">(((J952/60)/60)/24)+DATE(1970,1,1)</f>
        <v>43571.208333333328</v>
      </c>
      <c r="T952" s="10">
        <f t="shared" si="958"/>
        <v>43576.208333333328</v>
      </c>
    </row>
    <row r="953" spans="1:20" ht="15.75" customHeight="1" x14ac:dyDescent="0.25">
      <c r="A953" s="5">
        <v>951</v>
      </c>
      <c r="B953" s="6" t="s">
        <v>1940</v>
      </c>
      <c r="C953" s="7" t="s">
        <v>1941</v>
      </c>
      <c r="D953" s="5">
        <v>14500</v>
      </c>
      <c r="E953" s="5">
        <v>159056</v>
      </c>
      <c r="F953" s="5" t="s">
        <v>28</v>
      </c>
      <c r="G953" s="5">
        <v>1559</v>
      </c>
      <c r="H953" s="5" t="s">
        <v>29</v>
      </c>
      <c r="I953" s="5" t="s">
        <v>30</v>
      </c>
      <c r="J953" s="5">
        <v>1482732000</v>
      </c>
      <c r="K953" s="5">
        <v>1482818400</v>
      </c>
      <c r="L953" s="5" t="b">
        <v>0</v>
      </c>
      <c r="M953" s="5" t="b">
        <v>1</v>
      </c>
      <c r="N953" s="5" t="s">
        <v>31</v>
      </c>
      <c r="O953" s="8">
        <f t="shared" si="772"/>
        <v>10.969379310344827</v>
      </c>
      <c r="P953" s="9">
        <f t="shared" si="762"/>
        <v>102.02437459910199</v>
      </c>
      <c r="Q953" s="5" t="str" cm="1">
        <f t="array" ref="Q953:R953">_xlfn.TEXTSPLIT(N953,"/")</f>
        <v>music</v>
      </c>
      <c r="R953" t="str">
        <v>rock</v>
      </c>
      <c r="S953" s="10">
        <f t="shared" ref="S953:T953" si="959">(((J953/60)/60)/24)+DATE(1970,1,1)</f>
        <v>42730.25</v>
      </c>
      <c r="T953" s="10">
        <f t="shared" si="959"/>
        <v>42731.25</v>
      </c>
    </row>
    <row r="954" spans="1:20" ht="15.75" customHeight="1" x14ac:dyDescent="0.25">
      <c r="A954" s="5">
        <v>952</v>
      </c>
      <c r="B954" s="6" t="s">
        <v>1942</v>
      </c>
      <c r="C954" s="7" t="s">
        <v>1943</v>
      </c>
      <c r="D954" s="5">
        <v>145500</v>
      </c>
      <c r="E954" s="5">
        <v>101987</v>
      </c>
      <c r="F954" s="5" t="s">
        <v>82</v>
      </c>
      <c r="G954" s="5">
        <v>2266</v>
      </c>
      <c r="H954" s="5" t="s">
        <v>29</v>
      </c>
      <c r="I954" s="5" t="s">
        <v>30</v>
      </c>
      <c r="J954" s="5">
        <v>1470718800</v>
      </c>
      <c r="K954" s="5">
        <v>1471928400</v>
      </c>
      <c r="L954" s="5" t="b">
        <v>0</v>
      </c>
      <c r="M954" s="5" t="b">
        <v>0</v>
      </c>
      <c r="N954" s="5" t="s">
        <v>50</v>
      </c>
      <c r="O954" s="8">
        <f t="shared" si="772"/>
        <v>0.70094158075601376</v>
      </c>
      <c r="P954" s="9">
        <f t="shared" si="762"/>
        <v>45.007502206531335</v>
      </c>
      <c r="Q954" s="5" t="str" cm="1">
        <f t="array" ref="Q954:R954">_xlfn.TEXTSPLIT(N954,"/")</f>
        <v>film &amp; video</v>
      </c>
      <c r="R954" t="str">
        <v>documentary</v>
      </c>
      <c r="S954" s="10">
        <f t="shared" ref="S954:T954" si="960">(((J954/60)/60)/24)+DATE(1970,1,1)</f>
        <v>42591.208333333328</v>
      </c>
      <c r="T954" s="10">
        <f t="shared" si="960"/>
        <v>42605.208333333328</v>
      </c>
    </row>
    <row r="955" spans="1:20" ht="15.75" customHeight="1" x14ac:dyDescent="0.25">
      <c r="A955" s="5">
        <v>953</v>
      </c>
      <c r="B955" s="6" t="s">
        <v>1944</v>
      </c>
      <c r="C955" s="7" t="s">
        <v>1945</v>
      </c>
      <c r="D955" s="5">
        <v>3300</v>
      </c>
      <c r="E955" s="5">
        <v>1980</v>
      </c>
      <c r="F955" s="5" t="s">
        <v>22</v>
      </c>
      <c r="G955" s="5">
        <v>21</v>
      </c>
      <c r="H955" s="5" t="s">
        <v>29</v>
      </c>
      <c r="I955" s="5" t="s">
        <v>30</v>
      </c>
      <c r="J955" s="5">
        <v>1450591200</v>
      </c>
      <c r="K955" s="5">
        <v>1453701600</v>
      </c>
      <c r="L955" s="5" t="b">
        <v>0</v>
      </c>
      <c r="M955" s="5" t="b">
        <v>1</v>
      </c>
      <c r="N955" s="5" t="s">
        <v>482</v>
      </c>
      <c r="O955" s="8">
        <f t="shared" si="772"/>
        <v>0.6</v>
      </c>
      <c r="P955" s="9">
        <f t="shared" si="762"/>
        <v>94.285714285714292</v>
      </c>
      <c r="Q955" s="5" t="str" cm="1">
        <f t="array" ref="Q955:R955">_xlfn.TEXTSPLIT(N955,"/")</f>
        <v>film &amp; video</v>
      </c>
      <c r="R955" t="str">
        <v>science fiction</v>
      </c>
      <c r="S955" s="10">
        <f t="shared" ref="S955:T955" si="961">(((J955/60)/60)/24)+DATE(1970,1,1)</f>
        <v>42358.25</v>
      </c>
      <c r="T955" s="10">
        <f t="shared" si="961"/>
        <v>42394.25</v>
      </c>
    </row>
    <row r="956" spans="1:20" ht="15.75" customHeight="1" x14ac:dyDescent="0.25">
      <c r="A956" s="5">
        <v>954</v>
      </c>
      <c r="B956" s="6" t="s">
        <v>1946</v>
      </c>
      <c r="C956" s="7" t="s">
        <v>1947</v>
      </c>
      <c r="D956" s="5">
        <v>42600</v>
      </c>
      <c r="E956" s="5">
        <v>156384</v>
      </c>
      <c r="F956" s="5" t="s">
        <v>28</v>
      </c>
      <c r="G956" s="5">
        <v>1548</v>
      </c>
      <c r="H956" s="5" t="s">
        <v>34</v>
      </c>
      <c r="I956" s="5" t="s">
        <v>35</v>
      </c>
      <c r="J956" s="5">
        <v>1348290000</v>
      </c>
      <c r="K956" s="5">
        <v>1350363600</v>
      </c>
      <c r="L956" s="5" t="b">
        <v>0</v>
      </c>
      <c r="M956" s="5" t="b">
        <v>0</v>
      </c>
      <c r="N956" s="5" t="s">
        <v>36</v>
      </c>
      <c r="O956" s="8">
        <f t="shared" si="772"/>
        <v>3.6709859154929578</v>
      </c>
      <c r="P956" s="9">
        <f t="shared" si="762"/>
        <v>101.02325581395348</v>
      </c>
      <c r="Q956" s="5" t="str" cm="1">
        <f t="array" ref="Q956:R956">_xlfn.TEXTSPLIT(N956,"/")</f>
        <v>technology</v>
      </c>
      <c r="R956" t="str">
        <v>web</v>
      </c>
      <c r="S956" s="10">
        <f t="shared" ref="S956:T956" si="962">(((J956/60)/60)/24)+DATE(1970,1,1)</f>
        <v>41174.208333333336</v>
      </c>
      <c r="T956" s="10">
        <f t="shared" si="962"/>
        <v>41198.208333333336</v>
      </c>
    </row>
    <row r="957" spans="1:20" ht="15.75" customHeight="1" x14ac:dyDescent="0.25">
      <c r="A957" s="5">
        <v>955</v>
      </c>
      <c r="B957" s="6" t="s">
        <v>1948</v>
      </c>
      <c r="C957" s="7" t="s">
        <v>1949</v>
      </c>
      <c r="D957" s="5">
        <v>700</v>
      </c>
      <c r="E957" s="5">
        <v>7763</v>
      </c>
      <c r="F957" s="5" t="s">
        <v>28</v>
      </c>
      <c r="G957" s="5">
        <v>80</v>
      </c>
      <c r="H957" s="5" t="s">
        <v>29</v>
      </c>
      <c r="I957" s="5" t="s">
        <v>30</v>
      </c>
      <c r="J957" s="5">
        <v>1353823200</v>
      </c>
      <c r="K957" s="5">
        <v>1353996000</v>
      </c>
      <c r="L957" s="5" t="b">
        <v>0</v>
      </c>
      <c r="M957" s="5" t="b">
        <v>0</v>
      </c>
      <c r="N957" s="5" t="s">
        <v>41</v>
      </c>
      <c r="O957" s="8">
        <f t="shared" si="772"/>
        <v>11.09</v>
      </c>
      <c r="P957" s="9">
        <f t="shared" si="762"/>
        <v>97.037499999999994</v>
      </c>
      <c r="Q957" s="5" t="str" cm="1">
        <f t="array" ref="Q957:R957">_xlfn.TEXTSPLIT(N957,"/")</f>
        <v>theater</v>
      </c>
      <c r="R957" t="str">
        <v>plays</v>
      </c>
      <c r="S957" s="10">
        <f t="shared" ref="S957:T957" si="963">(((J957/60)/60)/24)+DATE(1970,1,1)</f>
        <v>41238.25</v>
      </c>
      <c r="T957" s="10">
        <f t="shared" si="963"/>
        <v>41240.25</v>
      </c>
    </row>
    <row r="958" spans="1:20" ht="15.75" customHeight="1" x14ac:dyDescent="0.25">
      <c r="A958" s="5">
        <v>956</v>
      </c>
      <c r="B958" s="6" t="s">
        <v>1950</v>
      </c>
      <c r="C958" s="7" t="s">
        <v>1951</v>
      </c>
      <c r="D958" s="5">
        <v>187600</v>
      </c>
      <c r="E958" s="5">
        <v>35698</v>
      </c>
      <c r="F958" s="5" t="s">
        <v>22</v>
      </c>
      <c r="G958" s="5">
        <v>830</v>
      </c>
      <c r="H958" s="5" t="s">
        <v>29</v>
      </c>
      <c r="I958" s="5" t="s">
        <v>30</v>
      </c>
      <c r="J958" s="5">
        <v>1450764000</v>
      </c>
      <c r="K958" s="5">
        <v>1451109600</v>
      </c>
      <c r="L958" s="5" t="b">
        <v>0</v>
      </c>
      <c r="M958" s="5" t="b">
        <v>0</v>
      </c>
      <c r="N958" s="5" t="s">
        <v>482</v>
      </c>
      <c r="O958" s="8">
        <f t="shared" si="772"/>
        <v>0.19028784648187633</v>
      </c>
      <c r="P958" s="9">
        <f t="shared" si="762"/>
        <v>43.00963855421687</v>
      </c>
      <c r="Q958" s="5" t="str" cm="1">
        <f t="array" ref="Q958:R958">_xlfn.TEXTSPLIT(N958,"/")</f>
        <v>film &amp; video</v>
      </c>
      <c r="R958" t="str">
        <v>science fiction</v>
      </c>
      <c r="S958" s="10">
        <f t="shared" ref="S958:T958" si="964">(((J958/60)/60)/24)+DATE(1970,1,1)</f>
        <v>42360.25</v>
      </c>
      <c r="T958" s="10">
        <f t="shared" si="964"/>
        <v>42364.25</v>
      </c>
    </row>
    <row r="959" spans="1:20" ht="15.75" customHeight="1" x14ac:dyDescent="0.25">
      <c r="A959" s="5">
        <v>957</v>
      </c>
      <c r="B959" s="6" t="s">
        <v>1952</v>
      </c>
      <c r="C959" s="7" t="s">
        <v>1953</v>
      </c>
      <c r="D959" s="5">
        <v>9800</v>
      </c>
      <c r="E959" s="5">
        <v>12434</v>
      </c>
      <c r="F959" s="5" t="s">
        <v>28</v>
      </c>
      <c r="G959" s="5">
        <v>131</v>
      </c>
      <c r="H959" s="5" t="s">
        <v>29</v>
      </c>
      <c r="I959" s="5" t="s">
        <v>30</v>
      </c>
      <c r="J959" s="5">
        <v>1329372000</v>
      </c>
      <c r="K959" s="5">
        <v>1329631200</v>
      </c>
      <c r="L959" s="5" t="b">
        <v>0</v>
      </c>
      <c r="M959" s="5" t="b">
        <v>0</v>
      </c>
      <c r="N959" s="5" t="s">
        <v>41</v>
      </c>
      <c r="O959" s="8">
        <f t="shared" si="772"/>
        <v>1.2687755102040816</v>
      </c>
      <c r="P959" s="9">
        <f t="shared" si="762"/>
        <v>94.916030534351151</v>
      </c>
      <c r="Q959" s="5" t="str" cm="1">
        <f t="array" ref="Q959:R959">_xlfn.TEXTSPLIT(N959,"/")</f>
        <v>theater</v>
      </c>
      <c r="R959" t="str">
        <v>plays</v>
      </c>
      <c r="S959" s="10">
        <f t="shared" ref="S959:T959" si="965">(((J959/60)/60)/24)+DATE(1970,1,1)</f>
        <v>40955.25</v>
      </c>
      <c r="T959" s="10">
        <f t="shared" si="965"/>
        <v>40958.25</v>
      </c>
    </row>
    <row r="960" spans="1:20" ht="15.75" customHeight="1" x14ac:dyDescent="0.25">
      <c r="A960" s="5">
        <v>958</v>
      </c>
      <c r="B960" s="6" t="s">
        <v>1954</v>
      </c>
      <c r="C960" s="7" t="s">
        <v>1955</v>
      </c>
      <c r="D960" s="5">
        <v>1100</v>
      </c>
      <c r="E960" s="5">
        <v>8081</v>
      </c>
      <c r="F960" s="5" t="s">
        <v>28</v>
      </c>
      <c r="G960" s="5">
        <v>112</v>
      </c>
      <c r="H960" s="5" t="s">
        <v>29</v>
      </c>
      <c r="I960" s="5" t="s">
        <v>30</v>
      </c>
      <c r="J960" s="5">
        <v>1277096400</v>
      </c>
      <c r="K960" s="5">
        <v>1278997200</v>
      </c>
      <c r="L960" s="5" t="b">
        <v>0</v>
      </c>
      <c r="M960" s="5" t="b">
        <v>0</v>
      </c>
      <c r="N960" s="5" t="s">
        <v>79</v>
      </c>
      <c r="O960" s="8">
        <f t="shared" si="772"/>
        <v>7.3463636363636367</v>
      </c>
      <c r="P960" s="9">
        <f t="shared" si="762"/>
        <v>72.151785714285708</v>
      </c>
      <c r="Q960" s="5" t="str" cm="1">
        <f t="array" ref="Q960:R960">_xlfn.TEXTSPLIT(N960,"/")</f>
        <v>film &amp; video</v>
      </c>
      <c r="R960" t="str">
        <v>animation</v>
      </c>
      <c r="S960" s="10">
        <f t="shared" ref="S960:T960" si="966">(((J960/60)/60)/24)+DATE(1970,1,1)</f>
        <v>40350.208333333336</v>
      </c>
      <c r="T960" s="10">
        <f t="shared" si="966"/>
        <v>40372.208333333336</v>
      </c>
    </row>
    <row r="961" spans="1:20" ht="15.75" customHeight="1" x14ac:dyDescent="0.25">
      <c r="A961" s="5">
        <v>959</v>
      </c>
      <c r="B961" s="6" t="s">
        <v>1956</v>
      </c>
      <c r="C961" s="7" t="s">
        <v>1957</v>
      </c>
      <c r="D961" s="5">
        <v>145000</v>
      </c>
      <c r="E961" s="5">
        <v>6631</v>
      </c>
      <c r="F961" s="5" t="s">
        <v>22</v>
      </c>
      <c r="G961" s="5">
        <v>130</v>
      </c>
      <c r="H961" s="5" t="s">
        <v>29</v>
      </c>
      <c r="I961" s="5" t="s">
        <v>30</v>
      </c>
      <c r="J961" s="5">
        <v>1277701200</v>
      </c>
      <c r="K961" s="5">
        <v>1280120400</v>
      </c>
      <c r="L961" s="5" t="b">
        <v>0</v>
      </c>
      <c r="M961" s="5" t="b">
        <v>0</v>
      </c>
      <c r="N961" s="5" t="s">
        <v>214</v>
      </c>
      <c r="O961" s="8">
        <f t="shared" si="772"/>
        <v>4.5731034482758622E-2</v>
      </c>
      <c r="P961" s="9">
        <f t="shared" si="762"/>
        <v>51.007692307692309</v>
      </c>
      <c r="Q961" s="5" t="str" cm="1">
        <f t="array" ref="Q961:R961">_xlfn.TEXTSPLIT(N961,"/")</f>
        <v>publishing</v>
      </c>
      <c r="R961" t="str">
        <v>translations</v>
      </c>
      <c r="S961" s="10">
        <f t="shared" ref="S961:T961" si="967">(((J961/60)/60)/24)+DATE(1970,1,1)</f>
        <v>40357.208333333336</v>
      </c>
      <c r="T961" s="10">
        <f t="shared" si="967"/>
        <v>40385.208333333336</v>
      </c>
    </row>
    <row r="962" spans="1:20" ht="15.75" customHeight="1" x14ac:dyDescent="0.25">
      <c r="A962" s="5">
        <v>960</v>
      </c>
      <c r="B962" s="6" t="s">
        <v>1958</v>
      </c>
      <c r="C962" s="7" t="s">
        <v>1959</v>
      </c>
      <c r="D962" s="5">
        <v>5500</v>
      </c>
      <c r="E962" s="5">
        <v>4678</v>
      </c>
      <c r="F962" s="5" t="s">
        <v>22</v>
      </c>
      <c r="G962" s="5">
        <v>55</v>
      </c>
      <c r="H962" s="5" t="s">
        <v>29</v>
      </c>
      <c r="I962" s="5" t="s">
        <v>30</v>
      </c>
      <c r="J962" s="5">
        <v>1454911200</v>
      </c>
      <c r="K962" s="5">
        <v>1458104400</v>
      </c>
      <c r="L962" s="5" t="b">
        <v>0</v>
      </c>
      <c r="M962" s="5" t="b">
        <v>0</v>
      </c>
      <c r="N962" s="5" t="s">
        <v>36</v>
      </c>
      <c r="O962" s="8">
        <f t="shared" si="772"/>
        <v>0.85054545454545449</v>
      </c>
      <c r="P962" s="9">
        <f t="shared" si="762"/>
        <v>85.054545454545448</v>
      </c>
      <c r="Q962" s="5" t="str" cm="1">
        <f t="array" ref="Q962:R962">_xlfn.TEXTSPLIT(N962,"/")</f>
        <v>technology</v>
      </c>
      <c r="R962" t="str">
        <v>web</v>
      </c>
      <c r="S962" s="10">
        <f t="shared" ref="S962:T962" si="968">(((J962/60)/60)/24)+DATE(1970,1,1)</f>
        <v>42408.25</v>
      </c>
      <c r="T962" s="10">
        <f t="shared" si="968"/>
        <v>42445.208333333328</v>
      </c>
    </row>
    <row r="963" spans="1:20" ht="15.75" customHeight="1" x14ac:dyDescent="0.25">
      <c r="A963" s="5">
        <v>961</v>
      </c>
      <c r="B963" s="6" t="s">
        <v>1960</v>
      </c>
      <c r="C963" s="7" t="s">
        <v>1961</v>
      </c>
      <c r="D963" s="5">
        <v>5700</v>
      </c>
      <c r="E963" s="5">
        <v>6800</v>
      </c>
      <c r="F963" s="5" t="s">
        <v>28</v>
      </c>
      <c r="G963" s="5">
        <v>155</v>
      </c>
      <c r="H963" s="5" t="s">
        <v>29</v>
      </c>
      <c r="I963" s="5" t="s">
        <v>30</v>
      </c>
      <c r="J963" s="5">
        <v>1297922400</v>
      </c>
      <c r="K963" s="5">
        <v>1298268000</v>
      </c>
      <c r="L963" s="5" t="b">
        <v>0</v>
      </c>
      <c r="M963" s="5" t="b">
        <v>0</v>
      </c>
      <c r="N963" s="5" t="s">
        <v>214</v>
      </c>
      <c r="O963" s="8">
        <f t="shared" si="772"/>
        <v>1.1929824561403508</v>
      </c>
      <c r="P963" s="9">
        <f t="shared" si="762"/>
        <v>43.87096774193548</v>
      </c>
      <c r="Q963" s="5" t="str" cm="1">
        <f t="array" ref="Q963:R963">_xlfn.TEXTSPLIT(N963,"/")</f>
        <v>publishing</v>
      </c>
      <c r="R963" t="str">
        <v>translations</v>
      </c>
      <c r="S963" s="10">
        <f t="shared" ref="S963:T963" si="969">(((J963/60)/60)/24)+DATE(1970,1,1)</f>
        <v>40591.25</v>
      </c>
      <c r="T963" s="10">
        <f t="shared" si="969"/>
        <v>40595.25</v>
      </c>
    </row>
    <row r="964" spans="1:20" ht="15.75" customHeight="1" x14ac:dyDescent="0.25">
      <c r="A964" s="5">
        <v>962</v>
      </c>
      <c r="B964" s="6" t="s">
        <v>1962</v>
      </c>
      <c r="C964" s="7" t="s">
        <v>1963</v>
      </c>
      <c r="D964" s="5">
        <v>3600</v>
      </c>
      <c r="E964" s="5">
        <v>10657</v>
      </c>
      <c r="F964" s="5" t="s">
        <v>28</v>
      </c>
      <c r="G964" s="5">
        <v>266</v>
      </c>
      <c r="H964" s="5" t="s">
        <v>29</v>
      </c>
      <c r="I964" s="5" t="s">
        <v>30</v>
      </c>
      <c r="J964" s="5">
        <v>1384408800</v>
      </c>
      <c r="K964" s="5">
        <v>1386223200</v>
      </c>
      <c r="L964" s="5" t="b">
        <v>0</v>
      </c>
      <c r="M964" s="5" t="b">
        <v>0</v>
      </c>
      <c r="N964" s="5" t="s">
        <v>25</v>
      </c>
      <c r="O964" s="8">
        <f t="shared" si="772"/>
        <v>2.9602777777777778</v>
      </c>
      <c r="P964" s="9">
        <f t="shared" si="762"/>
        <v>40.063909774436091</v>
      </c>
      <c r="Q964" s="5" t="str" cm="1">
        <f t="array" ref="Q964:R964">_xlfn.TEXTSPLIT(N964,"/")</f>
        <v>food</v>
      </c>
      <c r="R964" t="str">
        <v>food trucks</v>
      </c>
      <c r="S964" s="10">
        <f t="shared" ref="S964:T964" si="970">(((J964/60)/60)/24)+DATE(1970,1,1)</f>
        <v>41592.25</v>
      </c>
      <c r="T964" s="10">
        <f t="shared" si="970"/>
        <v>41613.25</v>
      </c>
    </row>
    <row r="965" spans="1:20" ht="15.75" customHeight="1" x14ac:dyDescent="0.25">
      <c r="A965" s="5">
        <v>963</v>
      </c>
      <c r="B965" s="6" t="s">
        <v>1964</v>
      </c>
      <c r="C965" s="7" t="s">
        <v>1965</v>
      </c>
      <c r="D965" s="5">
        <v>5900</v>
      </c>
      <c r="E965" s="5">
        <v>4997</v>
      </c>
      <c r="F965" s="5" t="s">
        <v>22</v>
      </c>
      <c r="G965" s="5">
        <v>114</v>
      </c>
      <c r="H965" s="5" t="s">
        <v>115</v>
      </c>
      <c r="I965" s="5" t="s">
        <v>116</v>
      </c>
      <c r="J965" s="5">
        <v>1299304800</v>
      </c>
      <c r="K965" s="5">
        <v>1299823200</v>
      </c>
      <c r="L965" s="5" t="b">
        <v>0</v>
      </c>
      <c r="M965" s="5" t="b">
        <v>1</v>
      </c>
      <c r="N965" s="5" t="s">
        <v>130</v>
      </c>
      <c r="O965" s="8">
        <f t="shared" si="772"/>
        <v>0.84694915254237291</v>
      </c>
      <c r="P965" s="9">
        <f t="shared" si="762"/>
        <v>43.833333333333336</v>
      </c>
      <c r="Q965" s="5" t="str" cm="1">
        <f t="array" ref="Q965:R965">_xlfn.TEXTSPLIT(N965,"/")</f>
        <v>photography</v>
      </c>
      <c r="R965" t="str">
        <v>photography books</v>
      </c>
      <c r="S965" s="10">
        <f t="shared" ref="S965:T965" si="971">(((J965/60)/60)/24)+DATE(1970,1,1)</f>
        <v>40607.25</v>
      </c>
      <c r="T965" s="10">
        <f t="shared" si="971"/>
        <v>40613.25</v>
      </c>
    </row>
    <row r="966" spans="1:20" ht="15.75" customHeight="1" x14ac:dyDescent="0.25">
      <c r="A966" s="5">
        <v>964</v>
      </c>
      <c r="B966" s="6" t="s">
        <v>1966</v>
      </c>
      <c r="C966" s="7" t="s">
        <v>1967</v>
      </c>
      <c r="D966" s="5">
        <v>3700</v>
      </c>
      <c r="E966" s="5">
        <v>13164</v>
      </c>
      <c r="F966" s="5" t="s">
        <v>28</v>
      </c>
      <c r="G966" s="5">
        <v>155</v>
      </c>
      <c r="H966" s="5" t="s">
        <v>29</v>
      </c>
      <c r="I966" s="5" t="s">
        <v>30</v>
      </c>
      <c r="J966" s="5">
        <v>1431320400</v>
      </c>
      <c r="K966" s="5">
        <v>1431752400</v>
      </c>
      <c r="L966" s="5" t="b">
        <v>0</v>
      </c>
      <c r="M966" s="5" t="b">
        <v>0</v>
      </c>
      <c r="N966" s="5" t="s">
        <v>41</v>
      </c>
      <c r="O966" s="8">
        <f t="shared" si="772"/>
        <v>3.5578378378378379</v>
      </c>
      <c r="P966" s="9">
        <f t="shared" si="762"/>
        <v>84.92903225806451</v>
      </c>
      <c r="Q966" s="5" t="str" cm="1">
        <f t="array" ref="Q966:R966">_xlfn.TEXTSPLIT(N966,"/")</f>
        <v>theater</v>
      </c>
      <c r="R966" t="str">
        <v>plays</v>
      </c>
      <c r="S966" s="10">
        <f t="shared" ref="S966:T966" si="972">(((J966/60)/60)/24)+DATE(1970,1,1)</f>
        <v>42135.208333333328</v>
      </c>
      <c r="T966" s="10">
        <f t="shared" si="972"/>
        <v>42140.208333333328</v>
      </c>
    </row>
    <row r="967" spans="1:20" ht="15.75" customHeight="1" x14ac:dyDescent="0.25">
      <c r="A967" s="5">
        <v>965</v>
      </c>
      <c r="B967" s="6" t="s">
        <v>1968</v>
      </c>
      <c r="C967" s="7" t="s">
        <v>1969</v>
      </c>
      <c r="D967" s="5">
        <v>2200</v>
      </c>
      <c r="E967" s="5">
        <v>8501</v>
      </c>
      <c r="F967" s="5" t="s">
        <v>28</v>
      </c>
      <c r="G967" s="5">
        <v>207</v>
      </c>
      <c r="H967" s="5" t="s">
        <v>48</v>
      </c>
      <c r="I967" s="5" t="s">
        <v>49</v>
      </c>
      <c r="J967" s="5">
        <v>1264399200</v>
      </c>
      <c r="K967" s="5">
        <v>1267855200</v>
      </c>
      <c r="L967" s="5" t="b">
        <v>0</v>
      </c>
      <c r="M967" s="5" t="b">
        <v>0</v>
      </c>
      <c r="N967" s="5" t="s">
        <v>31</v>
      </c>
      <c r="O967" s="8">
        <f t="shared" si="772"/>
        <v>3.8640909090909092</v>
      </c>
      <c r="P967" s="9">
        <f t="shared" si="762"/>
        <v>41.067632850241544</v>
      </c>
      <c r="Q967" s="5" t="str" cm="1">
        <f t="array" ref="Q967:R967">_xlfn.TEXTSPLIT(N967,"/")</f>
        <v>music</v>
      </c>
      <c r="R967" t="str">
        <v>rock</v>
      </c>
      <c r="S967" s="10">
        <f t="shared" ref="S967:T967" si="973">(((J967/60)/60)/24)+DATE(1970,1,1)</f>
        <v>40203.25</v>
      </c>
      <c r="T967" s="10">
        <f t="shared" si="973"/>
        <v>40243.25</v>
      </c>
    </row>
    <row r="968" spans="1:20" ht="15.75" customHeight="1" x14ac:dyDescent="0.25">
      <c r="A968" s="5">
        <v>966</v>
      </c>
      <c r="B968" s="6" t="s">
        <v>886</v>
      </c>
      <c r="C968" s="7" t="s">
        <v>1970</v>
      </c>
      <c r="D968" s="5">
        <v>1700</v>
      </c>
      <c r="E968" s="5">
        <v>13468</v>
      </c>
      <c r="F968" s="5" t="s">
        <v>28</v>
      </c>
      <c r="G968" s="5">
        <v>245</v>
      </c>
      <c r="H968" s="5" t="s">
        <v>29</v>
      </c>
      <c r="I968" s="5" t="s">
        <v>30</v>
      </c>
      <c r="J968" s="5">
        <v>1497502800</v>
      </c>
      <c r="K968" s="5">
        <v>1497675600</v>
      </c>
      <c r="L968" s="5" t="b">
        <v>0</v>
      </c>
      <c r="M968" s="5" t="b">
        <v>0</v>
      </c>
      <c r="N968" s="5" t="s">
        <v>41</v>
      </c>
      <c r="O968" s="8">
        <f t="shared" si="772"/>
        <v>7.9223529411764702</v>
      </c>
      <c r="P968" s="9">
        <f t="shared" si="762"/>
        <v>54.971428571428568</v>
      </c>
      <c r="Q968" s="5" t="str" cm="1">
        <f t="array" ref="Q968:R968">_xlfn.TEXTSPLIT(N968,"/")</f>
        <v>theater</v>
      </c>
      <c r="R968" t="str">
        <v>plays</v>
      </c>
      <c r="S968" s="10">
        <f t="shared" ref="S968:T968" si="974">(((J968/60)/60)/24)+DATE(1970,1,1)</f>
        <v>42901.208333333328</v>
      </c>
      <c r="T968" s="10">
        <f t="shared" si="974"/>
        <v>42903.208333333328</v>
      </c>
    </row>
    <row r="969" spans="1:20" ht="15.75" customHeight="1" x14ac:dyDescent="0.25">
      <c r="A969" s="5">
        <v>967</v>
      </c>
      <c r="B969" s="6" t="s">
        <v>1971</v>
      </c>
      <c r="C969" s="7" t="s">
        <v>1972</v>
      </c>
      <c r="D969" s="5">
        <v>88400</v>
      </c>
      <c r="E969" s="5">
        <v>121138</v>
      </c>
      <c r="F969" s="5" t="s">
        <v>28</v>
      </c>
      <c r="G969" s="5">
        <v>1573</v>
      </c>
      <c r="H969" s="5" t="s">
        <v>29</v>
      </c>
      <c r="I969" s="5" t="s">
        <v>30</v>
      </c>
      <c r="J969" s="5">
        <v>1333688400</v>
      </c>
      <c r="K969" s="5">
        <v>1336885200</v>
      </c>
      <c r="L969" s="5" t="b">
        <v>0</v>
      </c>
      <c r="M969" s="5" t="b">
        <v>0</v>
      </c>
      <c r="N969" s="5" t="s">
        <v>327</v>
      </c>
      <c r="O969" s="8">
        <f t="shared" si="772"/>
        <v>1.3703393665158372</v>
      </c>
      <c r="P969" s="9">
        <f t="shared" si="762"/>
        <v>77.010807374443743</v>
      </c>
      <c r="Q969" s="5" t="str" cm="1">
        <f t="array" ref="Q969:R969">_xlfn.TEXTSPLIT(N969,"/")</f>
        <v>music</v>
      </c>
      <c r="R969" t="str">
        <v>world music</v>
      </c>
      <c r="S969" s="10">
        <f t="shared" ref="S969:T969" si="975">(((J969/60)/60)/24)+DATE(1970,1,1)</f>
        <v>41005.208333333336</v>
      </c>
      <c r="T969" s="10">
        <f t="shared" si="975"/>
        <v>41042.208333333336</v>
      </c>
    </row>
    <row r="970" spans="1:20" ht="15.75" customHeight="1" x14ac:dyDescent="0.25">
      <c r="A970" s="5">
        <v>968</v>
      </c>
      <c r="B970" s="6" t="s">
        <v>1973</v>
      </c>
      <c r="C970" s="7" t="s">
        <v>1974</v>
      </c>
      <c r="D970" s="5">
        <v>2400</v>
      </c>
      <c r="E970" s="5">
        <v>8117</v>
      </c>
      <c r="F970" s="5" t="s">
        <v>28</v>
      </c>
      <c r="G970" s="5">
        <v>114</v>
      </c>
      <c r="H970" s="5" t="s">
        <v>29</v>
      </c>
      <c r="I970" s="5" t="s">
        <v>30</v>
      </c>
      <c r="J970" s="5">
        <v>1293861600</v>
      </c>
      <c r="K970" s="5">
        <v>1295157600</v>
      </c>
      <c r="L970" s="5" t="b">
        <v>0</v>
      </c>
      <c r="M970" s="5" t="b">
        <v>0</v>
      </c>
      <c r="N970" s="5" t="s">
        <v>25</v>
      </c>
      <c r="O970" s="8">
        <f t="shared" si="772"/>
        <v>3.3820833333333336</v>
      </c>
      <c r="P970" s="9">
        <f t="shared" si="762"/>
        <v>71.201754385964918</v>
      </c>
      <c r="Q970" s="5" t="str" cm="1">
        <f t="array" ref="Q970:R970">_xlfn.TEXTSPLIT(N970,"/")</f>
        <v>food</v>
      </c>
      <c r="R970" t="str">
        <v>food trucks</v>
      </c>
      <c r="S970" s="10">
        <f t="shared" ref="S970:T970" si="976">(((J970/60)/60)/24)+DATE(1970,1,1)</f>
        <v>40544.25</v>
      </c>
      <c r="T970" s="10">
        <f t="shared" si="976"/>
        <v>40559.25</v>
      </c>
    </row>
    <row r="971" spans="1:20" ht="15.75" customHeight="1" x14ac:dyDescent="0.25">
      <c r="A971" s="5">
        <v>969</v>
      </c>
      <c r="B971" s="6" t="s">
        <v>1975</v>
      </c>
      <c r="C971" s="7" t="s">
        <v>1976</v>
      </c>
      <c r="D971" s="5">
        <v>7900</v>
      </c>
      <c r="E971" s="5">
        <v>8550</v>
      </c>
      <c r="F971" s="5" t="s">
        <v>28</v>
      </c>
      <c r="G971" s="5">
        <v>93</v>
      </c>
      <c r="H971" s="5" t="s">
        <v>29</v>
      </c>
      <c r="I971" s="5" t="s">
        <v>30</v>
      </c>
      <c r="J971" s="5">
        <v>1576994400</v>
      </c>
      <c r="K971" s="5">
        <v>1577599200</v>
      </c>
      <c r="L971" s="5" t="b">
        <v>0</v>
      </c>
      <c r="M971" s="5" t="b">
        <v>0</v>
      </c>
      <c r="N971" s="5" t="s">
        <v>41</v>
      </c>
      <c r="O971" s="8">
        <f t="shared" si="772"/>
        <v>1.0822784810126582</v>
      </c>
      <c r="P971" s="9">
        <f t="shared" si="762"/>
        <v>91.935483870967744</v>
      </c>
      <c r="Q971" s="5" t="str" cm="1">
        <f t="array" ref="Q971:R971">_xlfn.TEXTSPLIT(N971,"/")</f>
        <v>theater</v>
      </c>
      <c r="R971" t="str">
        <v>plays</v>
      </c>
      <c r="S971" s="10">
        <f t="shared" ref="S971:T971" si="977">(((J971/60)/60)/24)+DATE(1970,1,1)</f>
        <v>43821.25</v>
      </c>
      <c r="T971" s="10">
        <f t="shared" si="977"/>
        <v>43828.25</v>
      </c>
    </row>
    <row r="972" spans="1:20" ht="15.75" customHeight="1" x14ac:dyDescent="0.25">
      <c r="A972" s="5">
        <v>970</v>
      </c>
      <c r="B972" s="6" t="s">
        <v>1977</v>
      </c>
      <c r="C972" s="7" t="s">
        <v>1978</v>
      </c>
      <c r="D972" s="5">
        <v>94900</v>
      </c>
      <c r="E972" s="5">
        <v>57659</v>
      </c>
      <c r="F972" s="5" t="s">
        <v>22</v>
      </c>
      <c r="G972" s="5">
        <v>594</v>
      </c>
      <c r="H972" s="5" t="s">
        <v>29</v>
      </c>
      <c r="I972" s="5" t="s">
        <v>30</v>
      </c>
      <c r="J972" s="5">
        <v>1304917200</v>
      </c>
      <c r="K972" s="5">
        <v>1305003600</v>
      </c>
      <c r="L972" s="5" t="b">
        <v>0</v>
      </c>
      <c r="M972" s="5" t="b">
        <v>0</v>
      </c>
      <c r="N972" s="5" t="s">
        <v>41</v>
      </c>
      <c r="O972" s="8">
        <f t="shared" si="772"/>
        <v>0.60757639620653314</v>
      </c>
      <c r="P972" s="9">
        <f t="shared" si="762"/>
        <v>97.069023569023571</v>
      </c>
      <c r="Q972" s="5" t="str" cm="1">
        <f t="array" ref="Q972:R972">_xlfn.TEXTSPLIT(N972,"/")</f>
        <v>theater</v>
      </c>
      <c r="R972" t="str">
        <v>plays</v>
      </c>
      <c r="S972" s="10">
        <f t="shared" ref="S972:T972" si="978">(((J972/60)/60)/24)+DATE(1970,1,1)</f>
        <v>40672.208333333336</v>
      </c>
      <c r="T972" s="10">
        <f t="shared" si="978"/>
        <v>40673.208333333336</v>
      </c>
    </row>
    <row r="973" spans="1:20" ht="15.75" customHeight="1" x14ac:dyDescent="0.25">
      <c r="A973" s="5">
        <v>971</v>
      </c>
      <c r="B973" s="6" t="s">
        <v>1979</v>
      </c>
      <c r="C973" s="7" t="s">
        <v>1980</v>
      </c>
      <c r="D973" s="5">
        <v>5100</v>
      </c>
      <c r="E973" s="5">
        <v>1414</v>
      </c>
      <c r="F973" s="5" t="s">
        <v>22</v>
      </c>
      <c r="G973" s="5">
        <v>24</v>
      </c>
      <c r="H973" s="5" t="s">
        <v>29</v>
      </c>
      <c r="I973" s="5" t="s">
        <v>30</v>
      </c>
      <c r="J973" s="5">
        <v>1381208400</v>
      </c>
      <c r="K973" s="5">
        <v>1381726800</v>
      </c>
      <c r="L973" s="5" t="b">
        <v>0</v>
      </c>
      <c r="M973" s="5" t="b">
        <v>0</v>
      </c>
      <c r="N973" s="5" t="s">
        <v>277</v>
      </c>
      <c r="O973" s="8">
        <f t="shared" si="772"/>
        <v>0.27725490196078434</v>
      </c>
      <c r="P973" s="9">
        <f t="shared" si="762"/>
        <v>58.916666666666664</v>
      </c>
      <c r="Q973" s="5" t="str" cm="1">
        <f t="array" ref="Q973:R973">_xlfn.TEXTSPLIT(N973,"/")</f>
        <v>film &amp; video</v>
      </c>
      <c r="R973" t="str">
        <v>television</v>
      </c>
      <c r="S973" s="10">
        <f t="shared" ref="S973:T973" si="979">(((J973/60)/60)/24)+DATE(1970,1,1)</f>
        <v>41555.208333333336</v>
      </c>
      <c r="T973" s="10">
        <f t="shared" si="979"/>
        <v>41561.208333333336</v>
      </c>
    </row>
    <row r="974" spans="1:20" ht="15.75" customHeight="1" x14ac:dyDescent="0.25">
      <c r="A974" s="5">
        <v>972</v>
      </c>
      <c r="B974" s="6" t="s">
        <v>1981</v>
      </c>
      <c r="C974" s="7" t="s">
        <v>1982</v>
      </c>
      <c r="D974" s="5">
        <v>42700</v>
      </c>
      <c r="E974" s="5">
        <v>97524</v>
      </c>
      <c r="F974" s="5" t="s">
        <v>28</v>
      </c>
      <c r="G974" s="5">
        <v>1681</v>
      </c>
      <c r="H974" s="5" t="s">
        <v>29</v>
      </c>
      <c r="I974" s="5" t="s">
        <v>30</v>
      </c>
      <c r="J974" s="5">
        <v>1401685200</v>
      </c>
      <c r="K974" s="5">
        <v>1402462800</v>
      </c>
      <c r="L974" s="5" t="b">
        <v>0</v>
      </c>
      <c r="M974" s="5" t="b">
        <v>1</v>
      </c>
      <c r="N974" s="5" t="s">
        <v>36</v>
      </c>
      <c r="O974" s="8">
        <f t="shared" si="772"/>
        <v>2.283934426229508</v>
      </c>
      <c r="P974" s="9">
        <f t="shared" si="762"/>
        <v>58.015466983938133</v>
      </c>
      <c r="Q974" s="5" t="str" cm="1">
        <f t="array" ref="Q974:R974">_xlfn.TEXTSPLIT(N974,"/")</f>
        <v>technology</v>
      </c>
      <c r="R974" t="str">
        <v>web</v>
      </c>
      <c r="S974" s="10">
        <f t="shared" ref="S974:T974" si="980">(((J974/60)/60)/24)+DATE(1970,1,1)</f>
        <v>41792.208333333336</v>
      </c>
      <c r="T974" s="10">
        <f t="shared" si="980"/>
        <v>41801.208333333336</v>
      </c>
    </row>
    <row r="975" spans="1:20" ht="15.75" customHeight="1" x14ac:dyDescent="0.25">
      <c r="A975" s="5">
        <v>973</v>
      </c>
      <c r="B975" s="6" t="s">
        <v>1983</v>
      </c>
      <c r="C975" s="7" t="s">
        <v>1984</v>
      </c>
      <c r="D975" s="5">
        <v>121100</v>
      </c>
      <c r="E975" s="5">
        <v>26176</v>
      </c>
      <c r="F975" s="5" t="s">
        <v>22</v>
      </c>
      <c r="G975" s="5">
        <v>252</v>
      </c>
      <c r="H975" s="5" t="s">
        <v>29</v>
      </c>
      <c r="I975" s="5" t="s">
        <v>30</v>
      </c>
      <c r="J975" s="5">
        <v>1291960800</v>
      </c>
      <c r="K975" s="5">
        <v>1292133600</v>
      </c>
      <c r="L975" s="5" t="b">
        <v>0</v>
      </c>
      <c r="M975" s="5" t="b">
        <v>1</v>
      </c>
      <c r="N975" s="5" t="s">
        <v>41</v>
      </c>
      <c r="O975" s="8">
        <f t="shared" si="772"/>
        <v>0.21615194054500414</v>
      </c>
      <c r="P975" s="9">
        <f t="shared" si="762"/>
        <v>103.87301587301587</v>
      </c>
      <c r="Q975" s="5" t="str" cm="1">
        <f t="array" ref="Q975:R975">_xlfn.TEXTSPLIT(N975,"/")</f>
        <v>theater</v>
      </c>
      <c r="R975" t="str">
        <v>plays</v>
      </c>
      <c r="S975" s="10">
        <f t="shared" ref="S975:T975" si="981">(((J975/60)/60)/24)+DATE(1970,1,1)</f>
        <v>40522.25</v>
      </c>
      <c r="T975" s="10">
        <f t="shared" si="981"/>
        <v>40524.25</v>
      </c>
    </row>
    <row r="976" spans="1:20" ht="15.75" customHeight="1" x14ac:dyDescent="0.25">
      <c r="A976" s="5">
        <v>974</v>
      </c>
      <c r="B976" s="6" t="s">
        <v>1985</v>
      </c>
      <c r="C976" s="7" t="s">
        <v>1986</v>
      </c>
      <c r="D976" s="5">
        <v>800</v>
      </c>
      <c r="E976" s="5">
        <v>2991</v>
      </c>
      <c r="F976" s="5" t="s">
        <v>28</v>
      </c>
      <c r="G976" s="5">
        <v>32</v>
      </c>
      <c r="H976" s="5" t="s">
        <v>29</v>
      </c>
      <c r="I976" s="5" t="s">
        <v>30</v>
      </c>
      <c r="J976" s="5">
        <v>1368853200</v>
      </c>
      <c r="K976" s="5">
        <v>1368939600</v>
      </c>
      <c r="L976" s="5" t="b">
        <v>0</v>
      </c>
      <c r="M976" s="5" t="b">
        <v>0</v>
      </c>
      <c r="N976" s="5" t="s">
        <v>68</v>
      </c>
      <c r="O976" s="8">
        <f t="shared" si="772"/>
        <v>3.73875</v>
      </c>
      <c r="P976" s="9">
        <f t="shared" si="762"/>
        <v>93.46875</v>
      </c>
      <c r="Q976" s="5" t="str" cm="1">
        <f t="array" ref="Q976:R976">_xlfn.TEXTSPLIT(N976,"/")</f>
        <v>music</v>
      </c>
      <c r="R976" t="str">
        <v>indie rock</v>
      </c>
      <c r="S976" s="10">
        <f t="shared" ref="S976:T976" si="982">(((J976/60)/60)/24)+DATE(1970,1,1)</f>
        <v>41412.208333333336</v>
      </c>
      <c r="T976" s="10">
        <f t="shared" si="982"/>
        <v>41413.208333333336</v>
      </c>
    </row>
    <row r="977" spans="1:20" ht="15.75" customHeight="1" x14ac:dyDescent="0.25">
      <c r="A977" s="5">
        <v>975</v>
      </c>
      <c r="B977" s="6" t="s">
        <v>1987</v>
      </c>
      <c r="C977" s="7" t="s">
        <v>1988</v>
      </c>
      <c r="D977" s="5">
        <v>5400</v>
      </c>
      <c r="E977" s="5">
        <v>8366</v>
      </c>
      <c r="F977" s="5" t="s">
        <v>28</v>
      </c>
      <c r="G977" s="5">
        <v>135</v>
      </c>
      <c r="H977" s="5" t="s">
        <v>29</v>
      </c>
      <c r="I977" s="5" t="s">
        <v>30</v>
      </c>
      <c r="J977" s="5">
        <v>1448776800</v>
      </c>
      <c r="K977" s="5">
        <v>1452146400</v>
      </c>
      <c r="L977" s="5" t="b">
        <v>0</v>
      </c>
      <c r="M977" s="5" t="b">
        <v>1</v>
      </c>
      <c r="N977" s="5" t="s">
        <v>41</v>
      </c>
      <c r="O977" s="8">
        <f t="shared" si="772"/>
        <v>1.5492592592592593</v>
      </c>
      <c r="P977" s="9">
        <f t="shared" si="762"/>
        <v>61.970370370370368</v>
      </c>
      <c r="Q977" s="5" t="str" cm="1">
        <f t="array" ref="Q977:R977">_xlfn.TEXTSPLIT(N977,"/")</f>
        <v>theater</v>
      </c>
      <c r="R977" t="str">
        <v>plays</v>
      </c>
      <c r="S977" s="10">
        <f t="shared" ref="S977:T977" si="983">(((J977/60)/60)/24)+DATE(1970,1,1)</f>
        <v>42337.25</v>
      </c>
      <c r="T977" s="10">
        <f t="shared" si="983"/>
        <v>42376.25</v>
      </c>
    </row>
    <row r="978" spans="1:20" ht="15.75" customHeight="1" x14ac:dyDescent="0.25">
      <c r="A978" s="5">
        <v>976</v>
      </c>
      <c r="B978" s="6" t="s">
        <v>1989</v>
      </c>
      <c r="C978" s="7" t="s">
        <v>1990</v>
      </c>
      <c r="D978" s="5">
        <v>4000</v>
      </c>
      <c r="E978" s="5">
        <v>12886</v>
      </c>
      <c r="F978" s="5" t="s">
        <v>28</v>
      </c>
      <c r="G978" s="5">
        <v>140</v>
      </c>
      <c r="H978" s="5" t="s">
        <v>29</v>
      </c>
      <c r="I978" s="5" t="s">
        <v>30</v>
      </c>
      <c r="J978" s="5">
        <v>1296194400</v>
      </c>
      <c r="K978" s="5">
        <v>1296712800</v>
      </c>
      <c r="L978" s="5" t="b">
        <v>0</v>
      </c>
      <c r="M978" s="5" t="b">
        <v>1</v>
      </c>
      <c r="N978" s="5" t="s">
        <v>41</v>
      </c>
      <c r="O978" s="8">
        <f t="shared" si="772"/>
        <v>3.2214999999999998</v>
      </c>
      <c r="P978" s="9">
        <f t="shared" si="762"/>
        <v>92.042857142857144</v>
      </c>
      <c r="Q978" s="5" t="str" cm="1">
        <f t="array" ref="Q978:R978">_xlfn.TEXTSPLIT(N978,"/")</f>
        <v>theater</v>
      </c>
      <c r="R978" t="str">
        <v>plays</v>
      </c>
      <c r="S978" s="10">
        <f t="shared" ref="S978:T978" si="984">(((J978/60)/60)/24)+DATE(1970,1,1)</f>
        <v>40571.25</v>
      </c>
      <c r="T978" s="10">
        <f t="shared" si="984"/>
        <v>40577.25</v>
      </c>
    </row>
    <row r="979" spans="1:20" ht="15.75" customHeight="1" x14ac:dyDescent="0.25">
      <c r="A979" s="5">
        <v>977</v>
      </c>
      <c r="B979" s="6" t="s">
        <v>1266</v>
      </c>
      <c r="C979" s="7" t="s">
        <v>1991</v>
      </c>
      <c r="D979" s="5">
        <v>7000</v>
      </c>
      <c r="E979" s="5">
        <v>5177</v>
      </c>
      <c r="F979" s="5" t="s">
        <v>22</v>
      </c>
      <c r="G979" s="5">
        <v>67</v>
      </c>
      <c r="H979" s="5" t="s">
        <v>29</v>
      </c>
      <c r="I979" s="5" t="s">
        <v>30</v>
      </c>
      <c r="J979" s="5">
        <v>1517983200</v>
      </c>
      <c r="K979" s="5">
        <v>1520748000</v>
      </c>
      <c r="L979" s="5" t="b">
        <v>0</v>
      </c>
      <c r="M979" s="5" t="b">
        <v>0</v>
      </c>
      <c r="N979" s="5" t="s">
        <v>25</v>
      </c>
      <c r="O979" s="8">
        <f t="shared" si="772"/>
        <v>0.73957142857142855</v>
      </c>
      <c r="P979" s="9">
        <f t="shared" si="762"/>
        <v>77.268656716417908</v>
      </c>
      <c r="Q979" s="5" t="str" cm="1">
        <f t="array" ref="Q979:R979">_xlfn.TEXTSPLIT(N979,"/")</f>
        <v>food</v>
      </c>
      <c r="R979" t="str">
        <v>food trucks</v>
      </c>
      <c r="S979" s="10">
        <f t="shared" ref="S979:T979" si="985">(((J979/60)/60)/24)+DATE(1970,1,1)</f>
        <v>43138.25</v>
      </c>
      <c r="T979" s="10">
        <f t="shared" si="985"/>
        <v>43170.25</v>
      </c>
    </row>
    <row r="980" spans="1:20" ht="15.75" customHeight="1" x14ac:dyDescent="0.25">
      <c r="A980" s="5">
        <v>978</v>
      </c>
      <c r="B980" s="6" t="s">
        <v>1992</v>
      </c>
      <c r="C980" s="7" t="s">
        <v>1993</v>
      </c>
      <c r="D980" s="5">
        <v>1000</v>
      </c>
      <c r="E980" s="5">
        <v>8641</v>
      </c>
      <c r="F980" s="5" t="s">
        <v>28</v>
      </c>
      <c r="G980" s="5">
        <v>92</v>
      </c>
      <c r="H980" s="5" t="s">
        <v>29</v>
      </c>
      <c r="I980" s="5" t="s">
        <v>30</v>
      </c>
      <c r="J980" s="5">
        <v>1478930400</v>
      </c>
      <c r="K980" s="5">
        <v>1480831200</v>
      </c>
      <c r="L980" s="5" t="b">
        <v>0</v>
      </c>
      <c r="M980" s="5" t="b">
        <v>0</v>
      </c>
      <c r="N980" s="5" t="s">
        <v>97</v>
      </c>
      <c r="O980" s="8">
        <f t="shared" si="772"/>
        <v>8.641</v>
      </c>
      <c r="P980" s="9">
        <f t="shared" si="762"/>
        <v>93.923913043478265</v>
      </c>
      <c r="Q980" s="5" t="str" cm="1">
        <f t="array" ref="Q980:R980">_xlfn.TEXTSPLIT(N980,"/")</f>
        <v>games</v>
      </c>
      <c r="R980" t="str">
        <v>video games</v>
      </c>
      <c r="S980" s="10">
        <f t="shared" ref="S980:T980" si="986">(((J980/60)/60)/24)+DATE(1970,1,1)</f>
        <v>42686.25</v>
      </c>
      <c r="T980" s="10">
        <f t="shared" si="986"/>
        <v>42708.25</v>
      </c>
    </row>
    <row r="981" spans="1:20" ht="15.75" customHeight="1" x14ac:dyDescent="0.25">
      <c r="A981" s="5">
        <v>979</v>
      </c>
      <c r="B981" s="6" t="s">
        <v>1994</v>
      </c>
      <c r="C981" s="7" t="s">
        <v>1995</v>
      </c>
      <c r="D981" s="5">
        <v>60200</v>
      </c>
      <c r="E981" s="5">
        <v>86244</v>
      </c>
      <c r="F981" s="5" t="s">
        <v>28</v>
      </c>
      <c r="G981" s="5">
        <v>1015</v>
      </c>
      <c r="H981" s="5" t="s">
        <v>48</v>
      </c>
      <c r="I981" s="5" t="s">
        <v>49</v>
      </c>
      <c r="J981" s="5">
        <v>1426395600</v>
      </c>
      <c r="K981" s="5">
        <v>1426914000</v>
      </c>
      <c r="L981" s="5" t="b">
        <v>0</v>
      </c>
      <c r="M981" s="5" t="b">
        <v>0</v>
      </c>
      <c r="N981" s="5" t="s">
        <v>41</v>
      </c>
      <c r="O981" s="8">
        <f t="shared" si="772"/>
        <v>1.432624584717608</v>
      </c>
      <c r="P981" s="9">
        <f t="shared" si="762"/>
        <v>84.969458128078813</v>
      </c>
      <c r="Q981" s="5" t="str" cm="1">
        <f t="array" ref="Q981:R981">_xlfn.TEXTSPLIT(N981,"/")</f>
        <v>theater</v>
      </c>
      <c r="R981" t="str">
        <v>plays</v>
      </c>
      <c r="S981" s="10">
        <f t="shared" ref="S981:T981" si="987">(((J981/60)/60)/24)+DATE(1970,1,1)</f>
        <v>42078.208333333328</v>
      </c>
      <c r="T981" s="10">
        <f t="shared" si="987"/>
        <v>42084.208333333328</v>
      </c>
    </row>
    <row r="982" spans="1:20" ht="15.75" customHeight="1" x14ac:dyDescent="0.25">
      <c r="A982" s="5">
        <v>980</v>
      </c>
      <c r="B982" s="6" t="s">
        <v>1996</v>
      </c>
      <c r="C982" s="7" t="s">
        <v>1997</v>
      </c>
      <c r="D982" s="5">
        <v>195200</v>
      </c>
      <c r="E982" s="5">
        <v>78630</v>
      </c>
      <c r="F982" s="5" t="s">
        <v>22</v>
      </c>
      <c r="G982" s="5">
        <v>742</v>
      </c>
      <c r="H982" s="5" t="s">
        <v>29</v>
      </c>
      <c r="I982" s="5" t="s">
        <v>30</v>
      </c>
      <c r="J982" s="5">
        <v>1446181200</v>
      </c>
      <c r="K982" s="5">
        <v>1446616800</v>
      </c>
      <c r="L982" s="5" t="b">
        <v>1</v>
      </c>
      <c r="M982" s="5" t="b">
        <v>0</v>
      </c>
      <c r="N982" s="5" t="s">
        <v>76</v>
      </c>
      <c r="O982" s="8">
        <f t="shared" si="772"/>
        <v>0.40281762295081969</v>
      </c>
      <c r="P982" s="9">
        <f t="shared" si="762"/>
        <v>105.97035040431267</v>
      </c>
      <c r="Q982" s="5" t="str" cm="1">
        <f t="array" ref="Q982:R982">_xlfn.TEXTSPLIT(N982,"/")</f>
        <v>publishing</v>
      </c>
      <c r="R982" t="str">
        <v>nonfiction</v>
      </c>
      <c r="S982" s="10">
        <f t="shared" ref="S982:T982" si="988">(((J982/60)/60)/24)+DATE(1970,1,1)</f>
        <v>42307.208333333328</v>
      </c>
      <c r="T982" s="10">
        <f t="shared" si="988"/>
        <v>42312.25</v>
      </c>
    </row>
    <row r="983" spans="1:20" ht="15.75" customHeight="1" x14ac:dyDescent="0.25">
      <c r="A983" s="5">
        <v>981</v>
      </c>
      <c r="B983" s="6" t="s">
        <v>1998</v>
      </c>
      <c r="C983" s="7" t="s">
        <v>1999</v>
      </c>
      <c r="D983" s="5">
        <v>6700</v>
      </c>
      <c r="E983" s="5">
        <v>11941</v>
      </c>
      <c r="F983" s="5" t="s">
        <v>28</v>
      </c>
      <c r="G983" s="5">
        <v>323</v>
      </c>
      <c r="H983" s="5" t="s">
        <v>29</v>
      </c>
      <c r="I983" s="5" t="s">
        <v>30</v>
      </c>
      <c r="J983" s="5">
        <v>1514181600</v>
      </c>
      <c r="K983" s="5">
        <v>1517032800</v>
      </c>
      <c r="L983" s="5" t="b">
        <v>0</v>
      </c>
      <c r="M983" s="5" t="b">
        <v>0</v>
      </c>
      <c r="N983" s="5" t="s">
        <v>36</v>
      </c>
      <c r="O983" s="8">
        <f t="shared" si="772"/>
        <v>1.7822388059701493</v>
      </c>
      <c r="P983" s="9">
        <f t="shared" si="762"/>
        <v>36.969040247678016</v>
      </c>
      <c r="Q983" s="5" t="str" cm="1">
        <f t="array" ref="Q983:R983">_xlfn.TEXTSPLIT(N983,"/")</f>
        <v>technology</v>
      </c>
      <c r="R983" t="str">
        <v>web</v>
      </c>
      <c r="S983" s="10">
        <f t="shared" ref="S983:T983" si="989">(((J983/60)/60)/24)+DATE(1970,1,1)</f>
        <v>43094.25</v>
      </c>
      <c r="T983" s="10">
        <f t="shared" si="989"/>
        <v>43127.25</v>
      </c>
    </row>
    <row r="984" spans="1:20" ht="15.75" customHeight="1" x14ac:dyDescent="0.25">
      <c r="A984" s="5">
        <v>982</v>
      </c>
      <c r="B984" s="6" t="s">
        <v>2000</v>
      </c>
      <c r="C984" s="7" t="s">
        <v>2001</v>
      </c>
      <c r="D984" s="5">
        <v>7200</v>
      </c>
      <c r="E984" s="5">
        <v>6115</v>
      </c>
      <c r="F984" s="5" t="s">
        <v>22</v>
      </c>
      <c r="G984" s="5">
        <v>75</v>
      </c>
      <c r="H984" s="5" t="s">
        <v>29</v>
      </c>
      <c r="I984" s="5" t="s">
        <v>30</v>
      </c>
      <c r="J984" s="5">
        <v>1311051600</v>
      </c>
      <c r="K984" s="5">
        <v>1311224400</v>
      </c>
      <c r="L984" s="5" t="b">
        <v>0</v>
      </c>
      <c r="M984" s="5" t="b">
        <v>1</v>
      </c>
      <c r="N984" s="5" t="s">
        <v>50</v>
      </c>
      <c r="O984" s="8">
        <f t="shared" si="772"/>
        <v>0.84930555555555554</v>
      </c>
      <c r="P984" s="9">
        <f t="shared" si="762"/>
        <v>81.533333333333331</v>
      </c>
      <c r="Q984" s="5" t="str" cm="1">
        <f t="array" ref="Q984:R984">_xlfn.TEXTSPLIT(N984,"/")</f>
        <v>film &amp; video</v>
      </c>
      <c r="R984" t="str">
        <v>documentary</v>
      </c>
      <c r="S984" s="10">
        <f t="shared" ref="S984:T984" si="990">(((J984/60)/60)/24)+DATE(1970,1,1)</f>
        <v>40743.208333333336</v>
      </c>
      <c r="T984" s="10">
        <f t="shared" si="990"/>
        <v>40745.208333333336</v>
      </c>
    </row>
    <row r="985" spans="1:20" ht="15.75" customHeight="1" x14ac:dyDescent="0.25">
      <c r="A985" s="5">
        <v>983</v>
      </c>
      <c r="B985" s="6" t="s">
        <v>2002</v>
      </c>
      <c r="C985" s="7" t="s">
        <v>2003</v>
      </c>
      <c r="D985" s="5">
        <v>129100</v>
      </c>
      <c r="E985" s="5">
        <v>188404</v>
      </c>
      <c r="F985" s="5" t="s">
        <v>28</v>
      </c>
      <c r="G985" s="5">
        <v>2326</v>
      </c>
      <c r="H985" s="5" t="s">
        <v>29</v>
      </c>
      <c r="I985" s="5" t="s">
        <v>30</v>
      </c>
      <c r="J985" s="5">
        <v>1564894800</v>
      </c>
      <c r="K985" s="5">
        <v>1566190800</v>
      </c>
      <c r="L985" s="5" t="b">
        <v>0</v>
      </c>
      <c r="M985" s="5" t="b">
        <v>0</v>
      </c>
      <c r="N985" s="5" t="s">
        <v>50</v>
      </c>
      <c r="O985" s="8">
        <f t="shared" si="772"/>
        <v>1.4593648334624323</v>
      </c>
      <c r="P985" s="9">
        <f t="shared" si="762"/>
        <v>80.999140154772135</v>
      </c>
      <c r="Q985" s="5" t="str" cm="1">
        <f t="array" ref="Q985:R985">_xlfn.TEXTSPLIT(N985,"/")</f>
        <v>film &amp; video</v>
      </c>
      <c r="R985" t="str">
        <v>documentary</v>
      </c>
      <c r="S985" s="10">
        <f t="shared" ref="S985:T985" si="991">(((J985/60)/60)/24)+DATE(1970,1,1)</f>
        <v>43681.208333333328</v>
      </c>
      <c r="T985" s="10">
        <f t="shared" si="991"/>
        <v>43696.208333333328</v>
      </c>
    </row>
    <row r="986" spans="1:20" ht="15.75" customHeight="1" x14ac:dyDescent="0.25">
      <c r="A986" s="5">
        <v>984</v>
      </c>
      <c r="B986" s="6" t="s">
        <v>2004</v>
      </c>
      <c r="C986" s="7" t="s">
        <v>2005</v>
      </c>
      <c r="D986" s="5">
        <v>6500</v>
      </c>
      <c r="E986" s="5">
        <v>9910</v>
      </c>
      <c r="F986" s="5" t="s">
        <v>28</v>
      </c>
      <c r="G986" s="5">
        <v>381</v>
      </c>
      <c r="H986" s="5" t="s">
        <v>29</v>
      </c>
      <c r="I986" s="5" t="s">
        <v>30</v>
      </c>
      <c r="J986" s="5">
        <v>1567918800</v>
      </c>
      <c r="K986" s="5">
        <v>1570165200</v>
      </c>
      <c r="L986" s="5" t="b">
        <v>0</v>
      </c>
      <c r="M986" s="5" t="b">
        <v>0</v>
      </c>
      <c r="N986" s="5" t="s">
        <v>41</v>
      </c>
      <c r="O986" s="8">
        <f t="shared" si="772"/>
        <v>1.5246153846153847</v>
      </c>
      <c r="P986" s="9">
        <f t="shared" si="762"/>
        <v>26.010498687664043</v>
      </c>
      <c r="Q986" s="5" t="str" cm="1">
        <f t="array" ref="Q986:R986">_xlfn.TEXTSPLIT(N986,"/")</f>
        <v>theater</v>
      </c>
      <c r="R986" t="str">
        <v>plays</v>
      </c>
      <c r="S986" s="10">
        <f t="shared" ref="S986:T986" si="992">(((J986/60)/60)/24)+DATE(1970,1,1)</f>
        <v>43716.208333333328</v>
      </c>
      <c r="T986" s="10">
        <f t="shared" si="992"/>
        <v>43742.208333333328</v>
      </c>
    </row>
    <row r="987" spans="1:20" ht="15.75" customHeight="1" x14ac:dyDescent="0.25">
      <c r="A987" s="5">
        <v>985</v>
      </c>
      <c r="B987" s="6" t="s">
        <v>2006</v>
      </c>
      <c r="C987" s="7" t="s">
        <v>2007</v>
      </c>
      <c r="D987" s="5">
        <v>170600</v>
      </c>
      <c r="E987" s="5">
        <v>114523</v>
      </c>
      <c r="F987" s="5" t="s">
        <v>22</v>
      </c>
      <c r="G987" s="5">
        <v>4405</v>
      </c>
      <c r="H987" s="5" t="s">
        <v>29</v>
      </c>
      <c r="I987" s="5" t="s">
        <v>30</v>
      </c>
      <c r="J987" s="5">
        <v>1386309600</v>
      </c>
      <c r="K987" s="5">
        <v>1388556000</v>
      </c>
      <c r="L987" s="5" t="b">
        <v>0</v>
      </c>
      <c r="M987" s="5" t="b">
        <v>1</v>
      </c>
      <c r="N987" s="5" t="s">
        <v>31</v>
      </c>
      <c r="O987" s="8">
        <f t="shared" si="772"/>
        <v>0.67129542790152408</v>
      </c>
      <c r="P987" s="9">
        <f t="shared" si="762"/>
        <v>25.998410896708286</v>
      </c>
      <c r="Q987" s="5" t="str" cm="1">
        <f t="array" ref="Q987:R987">_xlfn.TEXTSPLIT(N987,"/")</f>
        <v>music</v>
      </c>
      <c r="R987" t="str">
        <v>rock</v>
      </c>
      <c r="S987" s="10">
        <f t="shared" ref="S987:T987" si="993">(((J987/60)/60)/24)+DATE(1970,1,1)</f>
        <v>41614.25</v>
      </c>
      <c r="T987" s="10">
        <f t="shared" si="993"/>
        <v>41640.25</v>
      </c>
    </row>
    <row r="988" spans="1:20" ht="15.75" customHeight="1" x14ac:dyDescent="0.25">
      <c r="A988" s="5">
        <v>986</v>
      </c>
      <c r="B988" s="6" t="s">
        <v>2008</v>
      </c>
      <c r="C988" s="7" t="s">
        <v>2009</v>
      </c>
      <c r="D988" s="5">
        <v>7800</v>
      </c>
      <c r="E988" s="5">
        <v>3144</v>
      </c>
      <c r="F988" s="5" t="s">
        <v>22</v>
      </c>
      <c r="G988" s="5">
        <v>92</v>
      </c>
      <c r="H988" s="5" t="s">
        <v>29</v>
      </c>
      <c r="I988" s="5" t="s">
        <v>30</v>
      </c>
      <c r="J988" s="5">
        <v>1301979600</v>
      </c>
      <c r="K988" s="5">
        <v>1303189200</v>
      </c>
      <c r="L988" s="5" t="b">
        <v>0</v>
      </c>
      <c r="M988" s="5" t="b">
        <v>0</v>
      </c>
      <c r="N988" s="5" t="s">
        <v>31</v>
      </c>
      <c r="O988" s="8">
        <f t="shared" si="772"/>
        <v>0.40307692307692305</v>
      </c>
      <c r="P988" s="9">
        <f t="shared" si="762"/>
        <v>34.173913043478258</v>
      </c>
      <c r="Q988" s="5" t="str" cm="1">
        <f t="array" ref="Q988:R988">_xlfn.TEXTSPLIT(N988,"/")</f>
        <v>music</v>
      </c>
      <c r="R988" t="str">
        <v>rock</v>
      </c>
      <c r="S988" s="10">
        <f t="shared" ref="S988:T988" si="994">(((J988/60)/60)/24)+DATE(1970,1,1)</f>
        <v>40638.208333333336</v>
      </c>
      <c r="T988" s="10">
        <f t="shared" si="994"/>
        <v>40652.208333333336</v>
      </c>
    </row>
    <row r="989" spans="1:20" ht="15.75" customHeight="1" x14ac:dyDescent="0.25">
      <c r="A989" s="5">
        <v>987</v>
      </c>
      <c r="B989" s="6" t="s">
        <v>2010</v>
      </c>
      <c r="C989" s="7" t="s">
        <v>2011</v>
      </c>
      <c r="D989" s="5">
        <v>6200</v>
      </c>
      <c r="E989" s="5">
        <v>13441</v>
      </c>
      <c r="F989" s="5" t="s">
        <v>28</v>
      </c>
      <c r="G989" s="5">
        <v>480</v>
      </c>
      <c r="H989" s="5" t="s">
        <v>29</v>
      </c>
      <c r="I989" s="5" t="s">
        <v>30</v>
      </c>
      <c r="J989" s="5">
        <v>1493269200</v>
      </c>
      <c r="K989" s="5">
        <v>1494478800</v>
      </c>
      <c r="L989" s="5" t="b">
        <v>0</v>
      </c>
      <c r="M989" s="5" t="b">
        <v>0</v>
      </c>
      <c r="N989" s="5" t="s">
        <v>50</v>
      </c>
      <c r="O989" s="8">
        <f t="shared" si="772"/>
        <v>2.1679032258064517</v>
      </c>
      <c r="P989" s="9">
        <f t="shared" si="762"/>
        <v>28.002083333333335</v>
      </c>
      <c r="Q989" s="5" t="str" cm="1">
        <f t="array" ref="Q989:R989">_xlfn.TEXTSPLIT(N989,"/")</f>
        <v>film &amp; video</v>
      </c>
      <c r="R989" t="str">
        <v>documentary</v>
      </c>
      <c r="S989" s="10">
        <f t="shared" ref="S989:T989" si="995">(((J989/60)/60)/24)+DATE(1970,1,1)</f>
        <v>42852.208333333328</v>
      </c>
      <c r="T989" s="10">
        <f t="shared" si="995"/>
        <v>42866.208333333328</v>
      </c>
    </row>
    <row r="990" spans="1:20" ht="15.75" customHeight="1" x14ac:dyDescent="0.25">
      <c r="A990" s="5">
        <v>988</v>
      </c>
      <c r="B990" s="6" t="s">
        <v>2012</v>
      </c>
      <c r="C990" s="7" t="s">
        <v>2013</v>
      </c>
      <c r="D990" s="5">
        <v>9400</v>
      </c>
      <c r="E990" s="5">
        <v>4899</v>
      </c>
      <c r="F990" s="5" t="s">
        <v>22</v>
      </c>
      <c r="G990" s="5">
        <v>64</v>
      </c>
      <c r="H990" s="5" t="s">
        <v>29</v>
      </c>
      <c r="I990" s="5" t="s">
        <v>30</v>
      </c>
      <c r="J990" s="5">
        <v>1478930400</v>
      </c>
      <c r="K990" s="5">
        <v>1480744800</v>
      </c>
      <c r="L990" s="5" t="b">
        <v>0</v>
      </c>
      <c r="M990" s="5" t="b">
        <v>0</v>
      </c>
      <c r="N990" s="5" t="s">
        <v>141</v>
      </c>
      <c r="O990" s="8">
        <f t="shared" si="772"/>
        <v>0.52117021276595743</v>
      </c>
      <c r="P990" s="9">
        <f t="shared" si="762"/>
        <v>76.546875</v>
      </c>
      <c r="Q990" s="5" t="str" cm="1">
        <f t="array" ref="Q990:R990">_xlfn.TEXTSPLIT(N990,"/")</f>
        <v>publishing</v>
      </c>
      <c r="R990" t="str">
        <v>radio &amp; podcasts</v>
      </c>
      <c r="S990" s="10">
        <f t="shared" ref="S990:T990" si="996">(((J990/60)/60)/24)+DATE(1970,1,1)</f>
        <v>42686.25</v>
      </c>
      <c r="T990" s="10">
        <f t="shared" si="996"/>
        <v>42707.25</v>
      </c>
    </row>
    <row r="991" spans="1:20" ht="15.75" customHeight="1" x14ac:dyDescent="0.25">
      <c r="A991" s="5">
        <v>989</v>
      </c>
      <c r="B991" s="6" t="s">
        <v>2014</v>
      </c>
      <c r="C991" s="7" t="s">
        <v>2015</v>
      </c>
      <c r="D991" s="5">
        <v>2400</v>
      </c>
      <c r="E991" s="5">
        <v>11990</v>
      </c>
      <c r="F991" s="5" t="s">
        <v>28</v>
      </c>
      <c r="G991" s="5">
        <v>226</v>
      </c>
      <c r="H991" s="5" t="s">
        <v>29</v>
      </c>
      <c r="I991" s="5" t="s">
        <v>30</v>
      </c>
      <c r="J991" s="5">
        <v>1555390800</v>
      </c>
      <c r="K991" s="5">
        <v>1555822800</v>
      </c>
      <c r="L991" s="5" t="b">
        <v>0</v>
      </c>
      <c r="M991" s="5" t="b">
        <v>0</v>
      </c>
      <c r="N991" s="5" t="s">
        <v>214</v>
      </c>
      <c r="O991" s="8">
        <f t="shared" si="772"/>
        <v>4.9958333333333336</v>
      </c>
      <c r="P991" s="9">
        <f t="shared" si="762"/>
        <v>53.053097345132741</v>
      </c>
      <c r="Q991" s="5" t="str" cm="1">
        <f t="array" ref="Q991:R991">_xlfn.TEXTSPLIT(N991,"/")</f>
        <v>publishing</v>
      </c>
      <c r="R991" t="str">
        <v>translations</v>
      </c>
      <c r="S991" s="10">
        <f t="shared" ref="S991:T991" si="997">(((J991/60)/60)/24)+DATE(1970,1,1)</f>
        <v>43571.208333333328</v>
      </c>
      <c r="T991" s="10">
        <f t="shared" si="997"/>
        <v>43576.208333333328</v>
      </c>
    </row>
    <row r="992" spans="1:20" ht="15.75" customHeight="1" x14ac:dyDescent="0.25">
      <c r="A992" s="5">
        <v>990</v>
      </c>
      <c r="B992" s="6" t="s">
        <v>2016</v>
      </c>
      <c r="C992" s="7" t="s">
        <v>2017</v>
      </c>
      <c r="D992" s="5">
        <v>7800</v>
      </c>
      <c r="E992" s="5">
        <v>6839</v>
      </c>
      <c r="F992" s="5" t="s">
        <v>22</v>
      </c>
      <c r="G992" s="5">
        <v>64</v>
      </c>
      <c r="H992" s="5" t="s">
        <v>29</v>
      </c>
      <c r="I992" s="5" t="s">
        <v>30</v>
      </c>
      <c r="J992" s="5">
        <v>1456984800</v>
      </c>
      <c r="K992" s="5">
        <v>1458882000</v>
      </c>
      <c r="L992" s="5" t="b">
        <v>0</v>
      </c>
      <c r="M992" s="5" t="b">
        <v>1</v>
      </c>
      <c r="N992" s="5" t="s">
        <v>61</v>
      </c>
      <c r="O992" s="8">
        <f t="shared" si="772"/>
        <v>0.87679487179487181</v>
      </c>
      <c r="P992" s="9">
        <f t="shared" si="762"/>
        <v>106.859375</v>
      </c>
      <c r="Q992" s="5" t="str" cm="1">
        <f t="array" ref="Q992:R992">_xlfn.TEXTSPLIT(N992,"/")</f>
        <v>film &amp; video</v>
      </c>
      <c r="R992" t="str">
        <v>drama</v>
      </c>
      <c r="S992" s="10">
        <f t="shared" ref="S992:T992" si="998">(((J992/60)/60)/24)+DATE(1970,1,1)</f>
        <v>42432.25</v>
      </c>
      <c r="T992" s="10">
        <f t="shared" si="998"/>
        <v>42454.208333333328</v>
      </c>
    </row>
    <row r="993" spans="1:20" ht="15.75" customHeight="1" x14ac:dyDescent="0.25">
      <c r="A993" s="5">
        <v>991</v>
      </c>
      <c r="B993" s="6" t="s">
        <v>1088</v>
      </c>
      <c r="C993" s="7" t="s">
        <v>2018</v>
      </c>
      <c r="D993" s="5">
        <v>9800</v>
      </c>
      <c r="E993" s="5">
        <v>11091</v>
      </c>
      <c r="F993" s="5" t="s">
        <v>28</v>
      </c>
      <c r="G993" s="5">
        <v>241</v>
      </c>
      <c r="H993" s="5" t="s">
        <v>29</v>
      </c>
      <c r="I993" s="5" t="s">
        <v>30</v>
      </c>
      <c r="J993" s="5">
        <v>1411621200</v>
      </c>
      <c r="K993" s="5">
        <v>1411966800</v>
      </c>
      <c r="L993" s="5" t="b">
        <v>0</v>
      </c>
      <c r="M993" s="5" t="b">
        <v>1</v>
      </c>
      <c r="N993" s="5" t="s">
        <v>31</v>
      </c>
      <c r="O993" s="8">
        <f t="shared" si="772"/>
        <v>1.131734693877551</v>
      </c>
      <c r="P993" s="9">
        <f t="shared" si="762"/>
        <v>46.020746887966808</v>
      </c>
      <c r="Q993" s="5" t="str" cm="1">
        <f t="array" ref="Q993:R993">_xlfn.TEXTSPLIT(N993,"/")</f>
        <v>music</v>
      </c>
      <c r="R993" t="str">
        <v>rock</v>
      </c>
      <c r="S993" s="10">
        <f t="shared" ref="S993:T993" si="999">(((J993/60)/60)/24)+DATE(1970,1,1)</f>
        <v>41907.208333333336</v>
      </c>
      <c r="T993" s="10">
        <f t="shared" si="999"/>
        <v>41911.208333333336</v>
      </c>
    </row>
    <row r="994" spans="1:20" ht="15.75" customHeight="1" x14ac:dyDescent="0.25">
      <c r="A994" s="5">
        <v>992</v>
      </c>
      <c r="B994" s="6" t="s">
        <v>2019</v>
      </c>
      <c r="C994" s="7" t="s">
        <v>2020</v>
      </c>
      <c r="D994" s="5">
        <v>3100</v>
      </c>
      <c r="E994" s="5">
        <v>13223</v>
      </c>
      <c r="F994" s="5" t="s">
        <v>28</v>
      </c>
      <c r="G994" s="5">
        <v>132</v>
      </c>
      <c r="H994" s="5" t="s">
        <v>29</v>
      </c>
      <c r="I994" s="5" t="s">
        <v>30</v>
      </c>
      <c r="J994" s="5">
        <v>1525669200</v>
      </c>
      <c r="K994" s="5">
        <v>1526878800</v>
      </c>
      <c r="L994" s="5" t="b">
        <v>0</v>
      </c>
      <c r="M994" s="5" t="b">
        <v>1</v>
      </c>
      <c r="N994" s="5" t="s">
        <v>61</v>
      </c>
      <c r="O994" s="8">
        <f t="shared" si="772"/>
        <v>4.2654838709677421</v>
      </c>
      <c r="P994" s="9">
        <f t="shared" si="762"/>
        <v>100.17424242424242</v>
      </c>
      <c r="Q994" s="5" t="str" cm="1">
        <f t="array" ref="Q994:R994">_xlfn.TEXTSPLIT(N994,"/")</f>
        <v>film &amp; video</v>
      </c>
      <c r="R994" t="str">
        <v>drama</v>
      </c>
      <c r="S994" s="10">
        <f t="shared" ref="S994:T994" si="1000">(((J994/60)/60)/24)+DATE(1970,1,1)</f>
        <v>43227.208333333328</v>
      </c>
      <c r="T994" s="10">
        <f t="shared" si="1000"/>
        <v>43241.208333333328</v>
      </c>
    </row>
    <row r="995" spans="1:20" ht="15.75" customHeight="1" x14ac:dyDescent="0.25">
      <c r="A995" s="5">
        <v>993</v>
      </c>
      <c r="B995" s="6" t="s">
        <v>2021</v>
      </c>
      <c r="C995" s="7" t="s">
        <v>2022</v>
      </c>
      <c r="D995" s="5">
        <v>9800</v>
      </c>
      <c r="E995" s="5">
        <v>7608</v>
      </c>
      <c r="F995" s="5" t="s">
        <v>82</v>
      </c>
      <c r="G995" s="5">
        <v>75</v>
      </c>
      <c r="H995" s="5" t="s">
        <v>115</v>
      </c>
      <c r="I995" s="5" t="s">
        <v>116</v>
      </c>
      <c r="J995" s="5">
        <v>1450936800</v>
      </c>
      <c r="K995" s="5">
        <v>1452405600</v>
      </c>
      <c r="L995" s="5" t="b">
        <v>0</v>
      </c>
      <c r="M995" s="5" t="b">
        <v>1</v>
      </c>
      <c r="N995" s="5" t="s">
        <v>130</v>
      </c>
      <c r="O995" s="8">
        <f t="shared" si="772"/>
        <v>0.77632653061224488</v>
      </c>
      <c r="P995" s="9">
        <f t="shared" si="762"/>
        <v>101.44</v>
      </c>
      <c r="Q995" s="5" t="str" cm="1">
        <f t="array" ref="Q995:R995">_xlfn.TEXTSPLIT(N995,"/")</f>
        <v>photography</v>
      </c>
      <c r="R995" t="str">
        <v>photography books</v>
      </c>
      <c r="S995" s="10">
        <f t="shared" ref="S995:T995" si="1001">(((J995/60)/60)/24)+DATE(1970,1,1)</f>
        <v>42362.25</v>
      </c>
      <c r="T995" s="10">
        <f t="shared" si="1001"/>
        <v>42379.25</v>
      </c>
    </row>
    <row r="996" spans="1:20" ht="15.75" customHeight="1" x14ac:dyDescent="0.25">
      <c r="A996" s="5">
        <v>994</v>
      </c>
      <c r="B996" s="6" t="s">
        <v>2023</v>
      </c>
      <c r="C996" s="7" t="s">
        <v>2024</v>
      </c>
      <c r="D996" s="5">
        <v>141100</v>
      </c>
      <c r="E996" s="5">
        <v>74073</v>
      </c>
      <c r="F996" s="5" t="s">
        <v>22</v>
      </c>
      <c r="G996" s="5">
        <v>842</v>
      </c>
      <c r="H996" s="5" t="s">
        <v>29</v>
      </c>
      <c r="I996" s="5" t="s">
        <v>30</v>
      </c>
      <c r="J996" s="5">
        <v>1413522000</v>
      </c>
      <c r="K996" s="5">
        <v>1414040400</v>
      </c>
      <c r="L996" s="5" t="b">
        <v>0</v>
      </c>
      <c r="M996" s="5" t="b">
        <v>1</v>
      </c>
      <c r="N996" s="5" t="s">
        <v>214</v>
      </c>
      <c r="O996" s="8">
        <f t="shared" si="772"/>
        <v>0.52496810772501767</v>
      </c>
      <c r="P996" s="9">
        <f t="shared" si="762"/>
        <v>87.972684085510693</v>
      </c>
      <c r="Q996" s="5" t="str" cm="1">
        <f t="array" ref="Q996:R996">_xlfn.TEXTSPLIT(N996,"/")</f>
        <v>publishing</v>
      </c>
      <c r="R996" t="str">
        <v>translations</v>
      </c>
      <c r="S996" s="10">
        <f t="shared" ref="S996:T996" si="1002">(((J996/60)/60)/24)+DATE(1970,1,1)</f>
        <v>41929.208333333336</v>
      </c>
      <c r="T996" s="10">
        <f t="shared" si="1002"/>
        <v>41935.208333333336</v>
      </c>
    </row>
    <row r="997" spans="1:20" ht="15.75" customHeight="1" x14ac:dyDescent="0.25">
      <c r="A997" s="5">
        <v>995</v>
      </c>
      <c r="B997" s="6" t="s">
        <v>2025</v>
      </c>
      <c r="C997" s="7" t="s">
        <v>2026</v>
      </c>
      <c r="D997" s="5">
        <v>97300</v>
      </c>
      <c r="E997" s="5">
        <v>153216</v>
      </c>
      <c r="F997" s="5" t="s">
        <v>28</v>
      </c>
      <c r="G997" s="5">
        <v>2043</v>
      </c>
      <c r="H997" s="5" t="s">
        <v>29</v>
      </c>
      <c r="I997" s="5" t="s">
        <v>30</v>
      </c>
      <c r="J997" s="5">
        <v>1541307600</v>
      </c>
      <c r="K997" s="5">
        <v>1543816800</v>
      </c>
      <c r="L997" s="5" t="b">
        <v>0</v>
      </c>
      <c r="M997" s="5" t="b">
        <v>1</v>
      </c>
      <c r="N997" s="5" t="s">
        <v>25</v>
      </c>
      <c r="O997" s="8">
        <f t="shared" si="772"/>
        <v>1.5746762589928058</v>
      </c>
      <c r="P997" s="9">
        <f t="shared" si="762"/>
        <v>74.995594713656388</v>
      </c>
      <c r="Q997" s="5" t="str" cm="1">
        <f t="array" ref="Q997:R997">_xlfn.TEXTSPLIT(N997,"/")</f>
        <v>food</v>
      </c>
      <c r="R997" t="str">
        <v>food trucks</v>
      </c>
      <c r="S997" s="10">
        <f t="shared" ref="S997:T997" si="1003">(((J997/60)/60)/24)+DATE(1970,1,1)</f>
        <v>43408.208333333328</v>
      </c>
      <c r="T997" s="10">
        <f t="shared" si="1003"/>
        <v>43437.25</v>
      </c>
    </row>
    <row r="998" spans="1:20" ht="15.75" customHeight="1" x14ac:dyDescent="0.25">
      <c r="A998" s="5">
        <v>996</v>
      </c>
      <c r="B998" s="6" t="s">
        <v>2027</v>
      </c>
      <c r="C998" s="7" t="s">
        <v>2028</v>
      </c>
      <c r="D998" s="5">
        <v>6600</v>
      </c>
      <c r="E998" s="5">
        <v>4814</v>
      </c>
      <c r="F998" s="5" t="s">
        <v>22</v>
      </c>
      <c r="G998" s="5">
        <v>112</v>
      </c>
      <c r="H998" s="5" t="s">
        <v>29</v>
      </c>
      <c r="I998" s="5" t="s">
        <v>30</v>
      </c>
      <c r="J998" s="5">
        <v>1357106400</v>
      </c>
      <c r="K998" s="5">
        <v>1359698400</v>
      </c>
      <c r="L998" s="5" t="b">
        <v>0</v>
      </c>
      <c r="M998" s="5" t="b">
        <v>0</v>
      </c>
      <c r="N998" s="5" t="s">
        <v>41</v>
      </c>
      <c r="O998" s="8">
        <f t="shared" si="772"/>
        <v>0.72939393939393937</v>
      </c>
      <c r="P998" s="9">
        <f t="shared" si="762"/>
        <v>42.982142857142854</v>
      </c>
      <c r="Q998" s="5" t="str" cm="1">
        <f t="array" ref="Q998:R998">_xlfn.TEXTSPLIT(N998,"/")</f>
        <v>theater</v>
      </c>
      <c r="R998" t="str">
        <v>plays</v>
      </c>
      <c r="S998" s="10">
        <f t="shared" ref="S998:T998" si="1004">(((J998/60)/60)/24)+DATE(1970,1,1)</f>
        <v>41276.25</v>
      </c>
      <c r="T998" s="10">
        <f t="shared" si="1004"/>
        <v>41306.25</v>
      </c>
    </row>
    <row r="999" spans="1:20" ht="15.75" customHeight="1" x14ac:dyDescent="0.25">
      <c r="A999" s="5">
        <v>997</v>
      </c>
      <c r="B999" s="6" t="s">
        <v>2029</v>
      </c>
      <c r="C999" s="7" t="s">
        <v>2030</v>
      </c>
      <c r="D999" s="5">
        <v>7600</v>
      </c>
      <c r="E999" s="5">
        <v>4603</v>
      </c>
      <c r="F999" s="5" t="s">
        <v>82</v>
      </c>
      <c r="G999" s="5">
        <v>139</v>
      </c>
      <c r="H999" s="5" t="s">
        <v>115</v>
      </c>
      <c r="I999" s="5" t="s">
        <v>116</v>
      </c>
      <c r="J999" s="5">
        <v>1390197600</v>
      </c>
      <c r="K999" s="5">
        <v>1390629600</v>
      </c>
      <c r="L999" s="5" t="b">
        <v>0</v>
      </c>
      <c r="M999" s="5" t="b">
        <v>0</v>
      </c>
      <c r="N999" s="5" t="s">
        <v>41</v>
      </c>
      <c r="O999" s="8">
        <f t="shared" si="772"/>
        <v>0.60565789473684206</v>
      </c>
      <c r="P999" s="9">
        <f t="shared" si="762"/>
        <v>33.115107913669064</v>
      </c>
      <c r="Q999" s="5" t="str" cm="1">
        <f t="array" ref="Q999:R999">_xlfn.TEXTSPLIT(N999,"/")</f>
        <v>theater</v>
      </c>
      <c r="R999" t="str">
        <v>plays</v>
      </c>
      <c r="S999" s="10">
        <f t="shared" ref="S999:T999" si="1005">(((J999/60)/60)/24)+DATE(1970,1,1)</f>
        <v>41659.25</v>
      </c>
      <c r="T999" s="10">
        <f t="shared" si="1005"/>
        <v>41664.25</v>
      </c>
    </row>
    <row r="1000" spans="1:20" ht="15.75" customHeight="1" x14ac:dyDescent="0.25">
      <c r="A1000" s="5">
        <v>998</v>
      </c>
      <c r="B1000" s="6" t="s">
        <v>2031</v>
      </c>
      <c r="C1000" s="7" t="s">
        <v>2032</v>
      </c>
      <c r="D1000" s="5">
        <v>66600</v>
      </c>
      <c r="E1000" s="5">
        <v>37823</v>
      </c>
      <c r="F1000" s="5" t="s">
        <v>22</v>
      </c>
      <c r="G1000" s="5">
        <v>374</v>
      </c>
      <c r="H1000" s="5" t="s">
        <v>29</v>
      </c>
      <c r="I1000" s="5" t="s">
        <v>30</v>
      </c>
      <c r="J1000" s="5">
        <v>1265868000</v>
      </c>
      <c r="K1000" s="5">
        <v>1267077600</v>
      </c>
      <c r="L1000" s="5" t="b">
        <v>0</v>
      </c>
      <c r="M1000" s="5" t="b">
        <v>1</v>
      </c>
      <c r="N1000" s="5" t="s">
        <v>68</v>
      </c>
      <c r="O1000" s="8">
        <f t="shared" si="772"/>
        <v>0.5679129129129129</v>
      </c>
      <c r="P1000" s="9">
        <f t="shared" si="762"/>
        <v>101.13101604278074</v>
      </c>
      <c r="Q1000" s="5" t="str" cm="1">
        <f t="array" ref="Q1000:R1000">_xlfn.TEXTSPLIT(N1000,"/")</f>
        <v>music</v>
      </c>
      <c r="R1000" t="str">
        <v>indie rock</v>
      </c>
      <c r="S1000" s="10">
        <f t="shared" ref="S1000:T1000" si="1006">(((J1000/60)/60)/24)+DATE(1970,1,1)</f>
        <v>40220.25</v>
      </c>
      <c r="T1000" s="10">
        <f t="shared" si="1006"/>
        <v>40234.25</v>
      </c>
    </row>
    <row r="1001" spans="1:20" ht="15.75" customHeight="1" x14ac:dyDescent="0.25">
      <c r="A1001" s="5">
        <v>999</v>
      </c>
      <c r="B1001" s="6" t="s">
        <v>2033</v>
      </c>
      <c r="C1001" s="7" t="s">
        <v>2034</v>
      </c>
      <c r="D1001" s="5">
        <v>111100</v>
      </c>
      <c r="E1001" s="5">
        <v>62819</v>
      </c>
      <c r="F1001" s="5" t="s">
        <v>82</v>
      </c>
      <c r="G1001" s="5">
        <v>1122</v>
      </c>
      <c r="H1001" s="5" t="s">
        <v>29</v>
      </c>
      <c r="I1001" s="5" t="s">
        <v>30</v>
      </c>
      <c r="J1001" s="5">
        <v>1467176400</v>
      </c>
      <c r="K1001" s="5">
        <v>1467781200</v>
      </c>
      <c r="L1001" s="5" t="b">
        <v>0</v>
      </c>
      <c r="M1001" s="5" t="b">
        <v>0</v>
      </c>
      <c r="N1001" s="5" t="s">
        <v>25</v>
      </c>
      <c r="O1001" s="8">
        <f t="shared" si="772"/>
        <v>0.56542754275427543</v>
      </c>
      <c r="P1001" s="9">
        <f t="shared" si="762"/>
        <v>55.98841354723708</v>
      </c>
      <c r="Q1001" s="5" t="str" cm="1">
        <f t="array" ref="Q1001:R1001">_xlfn.TEXTSPLIT(N1001,"/")</f>
        <v>food</v>
      </c>
      <c r="R1001" t="str">
        <v>food trucks</v>
      </c>
      <c r="S1001" s="10">
        <f t="shared" ref="S1001:T1001" si="1007">(((J1001/60)/60)/24)+DATE(1970,1,1)</f>
        <v>42550.208333333328</v>
      </c>
      <c r="T1001" s="10">
        <f t="shared" si="1007"/>
        <v>42557.208333333328</v>
      </c>
    </row>
  </sheetData>
  <autoFilter ref="A1:R1001" xr:uid="{00000000-0009-0000-0000-000000000000}"/>
  <conditionalFormatting sqref="F1:F1001">
    <cfRule type="containsText" dxfId="3" priority="1" operator="containsText" text="live">
      <formula>NOT(ISERROR(SEARCH(("live"),(F1))))</formula>
    </cfRule>
  </conditionalFormatting>
  <conditionalFormatting sqref="F1:F1001">
    <cfRule type="containsText" dxfId="2" priority="2" operator="containsText" text="canceled">
      <formula>NOT(ISERROR(SEARCH(("canceled"),(F1))))</formula>
    </cfRule>
  </conditionalFormatting>
  <conditionalFormatting sqref="F1:F1001">
    <cfRule type="containsText" dxfId="1" priority="3" operator="containsText" text="successful">
      <formula>NOT(ISERROR(SEARCH(("successful"),(F1))))</formula>
    </cfRule>
  </conditionalFormatting>
  <conditionalFormatting sqref="F1:F1001">
    <cfRule type="containsText" dxfId="0" priority="4" operator="containsText" text="failed">
      <formula>NOT(ISERROR(SEARCH(("failed"),(F1))))</formula>
    </cfRule>
  </conditionalFormatting>
  <conditionalFormatting sqref="F1:F100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01">
    <cfRule type="colorScale" priority="6">
      <colorScale>
        <cfvo type="percent" val="0"/>
        <cfvo type="formula" val="1"/>
        <cfvo type="formula" val="2"/>
        <color rgb="FFA50021"/>
        <color rgb="FF218F24"/>
        <color theme="4"/>
      </colorScale>
    </cfRule>
  </conditionalFormatting>
  <pageMargins left="0.75" right="0.75" top="1" bottom="1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CB8A3-EC94-463C-A254-F20501EEE86B}">
  <dimension ref="A1:F14"/>
  <sheetViews>
    <sheetView workbookViewId="0">
      <selection activeCell="F4" sqref="F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</cols>
  <sheetData>
    <row r="1" spans="1:6" x14ac:dyDescent="0.25">
      <c r="A1" s="13" t="s">
        <v>7</v>
      </c>
      <c r="B1" t="s">
        <v>2069</v>
      </c>
    </row>
    <row r="3" spans="1:6" x14ac:dyDescent="0.25">
      <c r="A3" s="13" t="s">
        <v>2035</v>
      </c>
      <c r="B3" s="13" t="s">
        <v>2080</v>
      </c>
    </row>
    <row r="4" spans="1:6" x14ac:dyDescent="0.25">
      <c r="A4" s="13" t="s">
        <v>2070</v>
      </c>
      <c r="B4" t="s">
        <v>82</v>
      </c>
      <c r="C4" t="s">
        <v>22</v>
      </c>
      <c r="D4" t="s">
        <v>55</v>
      </c>
      <c r="E4" t="s">
        <v>28</v>
      </c>
      <c r="F4" t="s">
        <v>2036</v>
      </c>
    </row>
    <row r="5" spans="1:6" x14ac:dyDescent="0.25">
      <c r="A5" s="14" t="s">
        <v>2071</v>
      </c>
      <c r="B5" s="12">
        <v>11</v>
      </c>
      <c r="C5" s="12">
        <v>60</v>
      </c>
      <c r="D5" s="12">
        <v>5</v>
      </c>
      <c r="E5" s="12">
        <v>102</v>
      </c>
      <c r="F5" s="12">
        <v>178</v>
      </c>
    </row>
    <row r="6" spans="1:6" x14ac:dyDescent="0.25">
      <c r="A6" s="14" t="s">
        <v>2072</v>
      </c>
      <c r="B6" s="12">
        <v>4</v>
      </c>
      <c r="C6" s="12">
        <v>20</v>
      </c>
      <c r="D6" s="12"/>
      <c r="E6" s="12">
        <v>22</v>
      </c>
      <c r="F6" s="12">
        <v>46</v>
      </c>
    </row>
    <row r="7" spans="1:6" x14ac:dyDescent="0.25">
      <c r="A7" s="14" t="s">
        <v>2073</v>
      </c>
      <c r="B7" s="12">
        <v>1</v>
      </c>
      <c r="C7" s="12">
        <v>23</v>
      </c>
      <c r="D7" s="12">
        <v>3</v>
      </c>
      <c r="E7" s="12">
        <v>21</v>
      </c>
      <c r="F7" s="12">
        <v>48</v>
      </c>
    </row>
    <row r="8" spans="1:6" x14ac:dyDescent="0.25">
      <c r="A8" s="14" t="s">
        <v>2074</v>
      </c>
      <c r="B8" s="12"/>
      <c r="C8" s="12"/>
      <c r="D8" s="12"/>
      <c r="E8" s="12">
        <v>4</v>
      </c>
      <c r="F8" s="12">
        <v>4</v>
      </c>
    </row>
    <row r="9" spans="1:6" x14ac:dyDescent="0.25">
      <c r="A9" s="14" t="s">
        <v>2075</v>
      </c>
      <c r="B9" s="12">
        <v>10</v>
      </c>
      <c r="C9" s="12">
        <v>66</v>
      </c>
      <c r="D9" s="12"/>
      <c r="E9" s="12">
        <v>99</v>
      </c>
      <c r="F9" s="12">
        <v>175</v>
      </c>
    </row>
    <row r="10" spans="1:6" x14ac:dyDescent="0.25">
      <c r="A10" s="14" t="s">
        <v>2076</v>
      </c>
      <c r="B10" s="12">
        <v>4</v>
      </c>
      <c r="C10" s="12">
        <v>11</v>
      </c>
      <c r="D10" s="12">
        <v>1</v>
      </c>
      <c r="E10" s="12">
        <v>26</v>
      </c>
      <c r="F10" s="12">
        <v>42</v>
      </c>
    </row>
    <row r="11" spans="1:6" x14ac:dyDescent="0.25">
      <c r="A11" s="14" t="s">
        <v>2077</v>
      </c>
      <c r="B11" s="12">
        <v>2</v>
      </c>
      <c r="C11" s="12">
        <v>24</v>
      </c>
      <c r="D11" s="12">
        <v>1</v>
      </c>
      <c r="E11" s="12">
        <v>40</v>
      </c>
      <c r="F11" s="12">
        <v>67</v>
      </c>
    </row>
    <row r="12" spans="1:6" x14ac:dyDescent="0.25">
      <c r="A12" s="14" t="s">
        <v>2078</v>
      </c>
      <c r="B12" s="12">
        <v>2</v>
      </c>
      <c r="C12" s="12">
        <v>28</v>
      </c>
      <c r="D12" s="12">
        <v>2</v>
      </c>
      <c r="E12" s="12">
        <v>64</v>
      </c>
      <c r="F12" s="12">
        <v>96</v>
      </c>
    </row>
    <row r="13" spans="1:6" x14ac:dyDescent="0.25">
      <c r="A13" s="14" t="s">
        <v>2079</v>
      </c>
      <c r="B13" s="12">
        <v>23</v>
      </c>
      <c r="C13" s="12">
        <v>132</v>
      </c>
      <c r="D13" s="12">
        <v>2</v>
      </c>
      <c r="E13" s="12">
        <v>187</v>
      </c>
      <c r="F13" s="12">
        <v>344</v>
      </c>
    </row>
    <row r="14" spans="1:6" x14ac:dyDescent="0.25">
      <c r="A14" s="14" t="s">
        <v>2036</v>
      </c>
      <c r="B14" s="12">
        <v>57</v>
      </c>
      <c r="C14" s="12">
        <v>364</v>
      </c>
      <c r="D14" s="12">
        <v>14</v>
      </c>
      <c r="E14" s="12">
        <v>565</v>
      </c>
      <c r="F14" s="12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31EB-E5E5-4324-8499-D2929993B92C}">
  <dimension ref="A1:F30"/>
  <sheetViews>
    <sheetView workbookViewId="0">
      <selection activeCell="I30" sqref="I30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</cols>
  <sheetData>
    <row r="1" spans="1:6" x14ac:dyDescent="0.25">
      <c r="A1" s="13" t="s">
        <v>7</v>
      </c>
      <c r="B1" t="s">
        <v>2069</v>
      </c>
    </row>
    <row r="2" spans="1:6" x14ac:dyDescent="0.25">
      <c r="A2" s="13" t="s">
        <v>16</v>
      </c>
      <c r="B2" t="s">
        <v>2069</v>
      </c>
    </row>
    <row r="4" spans="1:6" x14ac:dyDescent="0.25">
      <c r="A4" s="13" t="s">
        <v>2035</v>
      </c>
      <c r="B4" s="13" t="s">
        <v>2080</v>
      </c>
    </row>
    <row r="5" spans="1:6" x14ac:dyDescent="0.25">
      <c r="A5" s="13" t="s">
        <v>2070</v>
      </c>
      <c r="B5" t="s">
        <v>82</v>
      </c>
      <c r="C5" t="s">
        <v>22</v>
      </c>
      <c r="D5" t="s">
        <v>55</v>
      </c>
      <c r="E5" t="s">
        <v>28</v>
      </c>
      <c r="F5" t="s">
        <v>2036</v>
      </c>
    </row>
    <row r="6" spans="1:6" x14ac:dyDescent="0.25">
      <c r="A6" s="14" t="s">
        <v>2081</v>
      </c>
      <c r="B6" s="12">
        <v>1</v>
      </c>
      <c r="C6" s="12">
        <v>10</v>
      </c>
      <c r="D6" s="12">
        <v>2</v>
      </c>
      <c r="E6" s="12">
        <v>21</v>
      </c>
      <c r="F6" s="12">
        <v>34</v>
      </c>
    </row>
    <row r="7" spans="1:6" x14ac:dyDescent="0.25">
      <c r="A7" s="14" t="s">
        <v>2082</v>
      </c>
      <c r="B7" s="12"/>
      <c r="C7" s="12"/>
      <c r="D7" s="12"/>
      <c r="E7" s="12">
        <v>4</v>
      </c>
      <c r="F7" s="12">
        <v>4</v>
      </c>
    </row>
    <row r="8" spans="1:6" x14ac:dyDescent="0.25">
      <c r="A8" s="14" t="s">
        <v>2083</v>
      </c>
      <c r="B8" s="12">
        <v>4</v>
      </c>
      <c r="C8" s="12">
        <v>21</v>
      </c>
      <c r="D8" s="12">
        <v>1</v>
      </c>
      <c r="E8" s="12">
        <v>34</v>
      </c>
      <c r="F8" s="12">
        <v>60</v>
      </c>
    </row>
    <row r="9" spans="1:6" x14ac:dyDescent="0.25">
      <c r="A9" s="14" t="s">
        <v>2084</v>
      </c>
      <c r="B9" s="12">
        <v>2</v>
      </c>
      <c r="C9" s="12">
        <v>12</v>
      </c>
      <c r="D9" s="12">
        <v>1</v>
      </c>
      <c r="E9" s="12">
        <v>22</v>
      </c>
      <c r="F9" s="12">
        <v>37</v>
      </c>
    </row>
    <row r="10" spans="1:6" x14ac:dyDescent="0.25">
      <c r="A10" s="14" t="s">
        <v>2085</v>
      </c>
      <c r="B10" s="12"/>
      <c r="C10" s="12">
        <v>8</v>
      </c>
      <c r="D10" s="12"/>
      <c r="E10" s="12">
        <v>10</v>
      </c>
      <c r="F10" s="12">
        <v>18</v>
      </c>
    </row>
    <row r="11" spans="1:6" x14ac:dyDescent="0.25">
      <c r="A11" s="14" t="s">
        <v>2086</v>
      </c>
      <c r="B11" s="12">
        <v>1</v>
      </c>
      <c r="C11" s="12">
        <v>7</v>
      </c>
      <c r="D11" s="12"/>
      <c r="E11" s="12">
        <v>9</v>
      </c>
      <c r="F11" s="12">
        <v>17</v>
      </c>
    </row>
    <row r="12" spans="1:6" x14ac:dyDescent="0.25">
      <c r="A12" s="14" t="s">
        <v>2087</v>
      </c>
      <c r="B12" s="12">
        <v>4</v>
      </c>
      <c r="C12" s="12">
        <v>20</v>
      </c>
      <c r="D12" s="12"/>
      <c r="E12" s="12">
        <v>22</v>
      </c>
      <c r="F12" s="12">
        <v>46</v>
      </c>
    </row>
    <row r="13" spans="1:6" x14ac:dyDescent="0.25">
      <c r="A13" s="14" t="s">
        <v>2088</v>
      </c>
      <c r="B13" s="12">
        <v>3</v>
      </c>
      <c r="C13" s="12">
        <v>19</v>
      </c>
      <c r="D13" s="12"/>
      <c r="E13" s="12">
        <v>23</v>
      </c>
      <c r="F13" s="12">
        <v>45</v>
      </c>
    </row>
    <row r="14" spans="1:6" x14ac:dyDescent="0.25">
      <c r="A14" s="14" t="s">
        <v>2089</v>
      </c>
      <c r="B14" s="12">
        <v>1</v>
      </c>
      <c r="C14" s="12">
        <v>6</v>
      </c>
      <c r="D14" s="12"/>
      <c r="E14" s="12">
        <v>10</v>
      </c>
      <c r="F14" s="12">
        <v>17</v>
      </c>
    </row>
    <row r="15" spans="1:6" x14ac:dyDescent="0.25">
      <c r="A15" s="14" t="s">
        <v>2090</v>
      </c>
      <c r="B15" s="12"/>
      <c r="C15" s="12">
        <v>3</v>
      </c>
      <c r="D15" s="12"/>
      <c r="E15" s="12">
        <v>4</v>
      </c>
      <c r="F15" s="12">
        <v>7</v>
      </c>
    </row>
    <row r="16" spans="1:6" x14ac:dyDescent="0.25">
      <c r="A16" s="14" t="s">
        <v>2091</v>
      </c>
      <c r="B16" s="12"/>
      <c r="C16" s="12">
        <v>8</v>
      </c>
      <c r="D16" s="12">
        <v>1</v>
      </c>
      <c r="E16" s="12">
        <v>4</v>
      </c>
      <c r="F16" s="12">
        <v>13</v>
      </c>
    </row>
    <row r="17" spans="1:6" x14ac:dyDescent="0.25">
      <c r="A17" s="14" t="s">
        <v>2092</v>
      </c>
      <c r="B17" s="12">
        <v>1</v>
      </c>
      <c r="C17" s="12">
        <v>6</v>
      </c>
      <c r="D17" s="12">
        <v>1</v>
      </c>
      <c r="E17" s="12">
        <v>13</v>
      </c>
      <c r="F17" s="12">
        <v>21</v>
      </c>
    </row>
    <row r="18" spans="1:6" x14ac:dyDescent="0.25">
      <c r="A18" s="14" t="s">
        <v>2093</v>
      </c>
      <c r="B18" s="12">
        <v>4</v>
      </c>
      <c r="C18" s="12">
        <v>11</v>
      </c>
      <c r="D18" s="12">
        <v>1</v>
      </c>
      <c r="E18" s="12">
        <v>26</v>
      </c>
      <c r="F18" s="12">
        <v>42</v>
      </c>
    </row>
    <row r="19" spans="1:6" x14ac:dyDescent="0.25">
      <c r="A19" s="14" t="s">
        <v>2094</v>
      </c>
      <c r="B19" s="12">
        <v>23</v>
      </c>
      <c r="C19" s="12">
        <v>132</v>
      </c>
      <c r="D19" s="12">
        <v>2</v>
      </c>
      <c r="E19" s="12">
        <v>187</v>
      </c>
      <c r="F19" s="12">
        <v>344</v>
      </c>
    </row>
    <row r="20" spans="1:6" x14ac:dyDescent="0.25">
      <c r="A20" s="14" t="s">
        <v>2095</v>
      </c>
      <c r="B20" s="12"/>
      <c r="C20" s="12">
        <v>4</v>
      </c>
      <c r="D20" s="12"/>
      <c r="E20" s="12">
        <v>4</v>
      </c>
      <c r="F20" s="12">
        <v>8</v>
      </c>
    </row>
    <row r="21" spans="1:6" x14ac:dyDescent="0.25">
      <c r="A21" s="14" t="s">
        <v>2096</v>
      </c>
      <c r="B21" s="12">
        <v>6</v>
      </c>
      <c r="C21" s="12">
        <v>30</v>
      </c>
      <c r="D21" s="12"/>
      <c r="E21" s="12">
        <v>49</v>
      </c>
      <c r="F21" s="12">
        <v>85</v>
      </c>
    </row>
    <row r="22" spans="1:6" x14ac:dyDescent="0.25">
      <c r="A22" s="14" t="s">
        <v>2097</v>
      </c>
      <c r="B22" s="12"/>
      <c r="C22" s="12">
        <v>9</v>
      </c>
      <c r="D22" s="12"/>
      <c r="E22" s="12">
        <v>5</v>
      </c>
      <c r="F22" s="12">
        <v>14</v>
      </c>
    </row>
    <row r="23" spans="1:6" x14ac:dyDescent="0.25">
      <c r="A23" s="14" t="s">
        <v>2098</v>
      </c>
      <c r="B23" s="12">
        <v>1</v>
      </c>
      <c r="C23" s="12">
        <v>5</v>
      </c>
      <c r="D23" s="12">
        <v>1</v>
      </c>
      <c r="E23" s="12">
        <v>9</v>
      </c>
      <c r="F23" s="12">
        <v>16</v>
      </c>
    </row>
    <row r="24" spans="1:6" x14ac:dyDescent="0.25">
      <c r="A24" s="14" t="s">
        <v>2099</v>
      </c>
      <c r="B24" s="12">
        <v>3</v>
      </c>
      <c r="C24" s="12">
        <v>3</v>
      </c>
      <c r="D24" s="12"/>
      <c r="E24" s="12">
        <v>11</v>
      </c>
      <c r="F24" s="12">
        <v>17</v>
      </c>
    </row>
    <row r="25" spans="1:6" x14ac:dyDescent="0.25">
      <c r="A25" s="14" t="s">
        <v>2100</v>
      </c>
      <c r="B25" s="12"/>
      <c r="C25" s="12">
        <v>7</v>
      </c>
      <c r="D25" s="12"/>
      <c r="E25" s="12">
        <v>14</v>
      </c>
      <c r="F25" s="12">
        <v>21</v>
      </c>
    </row>
    <row r="26" spans="1:6" x14ac:dyDescent="0.25">
      <c r="A26" s="14" t="s">
        <v>2101</v>
      </c>
      <c r="B26" s="12">
        <v>1</v>
      </c>
      <c r="C26" s="12">
        <v>15</v>
      </c>
      <c r="D26" s="12">
        <v>2</v>
      </c>
      <c r="E26" s="12">
        <v>17</v>
      </c>
      <c r="F26" s="12">
        <v>35</v>
      </c>
    </row>
    <row r="27" spans="1:6" x14ac:dyDescent="0.25">
      <c r="A27" s="14" t="s">
        <v>2102</v>
      </c>
      <c r="B27" s="12"/>
      <c r="C27" s="12">
        <v>16</v>
      </c>
      <c r="D27" s="12">
        <v>1</v>
      </c>
      <c r="E27" s="12">
        <v>28</v>
      </c>
      <c r="F27" s="12">
        <v>45</v>
      </c>
    </row>
    <row r="28" spans="1:6" x14ac:dyDescent="0.25">
      <c r="A28" s="14" t="s">
        <v>2103</v>
      </c>
      <c r="B28" s="12">
        <v>2</v>
      </c>
      <c r="C28" s="12">
        <v>12</v>
      </c>
      <c r="D28" s="12">
        <v>1</v>
      </c>
      <c r="E28" s="12">
        <v>36</v>
      </c>
      <c r="F28" s="12">
        <v>51</v>
      </c>
    </row>
    <row r="29" spans="1:6" x14ac:dyDescent="0.25">
      <c r="A29" s="14" t="s">
        <v>2104</v>
      </c>
      <c r="B29" s="12"/>
      <c r="C29" s="12"/>
      <c r="D29" s="12"/>
      <c r="E29" s="12">
        <v>3</v>
      </c>
      <c r="F29" s="12">
        <v>3</v>
      </c>
    </row>
    <row r="30" spans="1:6" x14ac:dyDescent="0.25">
      <c r="A30" s="14" t="s">
        <v>2036</v>
      </c>
      <c r="B30" s="12">
        <v>57</v>
      </c>
      <c r="C30" s="12">
        <v>364</v>
      </c>
      <c r="D30" s="12">
        <v>14</v>
      </c>
      <c r="E30" s="12">
        <v>565</v>
      </c>
      <c r="F30" s="12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55A96-2690-4E8C-8F15-8293197ACA5C}">
  <dimension ref="A1:E18"/>
  <sheetViews>
    <sheetView workbookViewId="0">
      <selection activeCell="J29" sqref="J29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9.25" bestFit="1" customWidth="1"/>
    <col min="5" max="5" width="11" bestFit="1" customWidth="1"/>
    <col min="6" max="6" width="6.875" bestFit="1" customWidth="1"/>
    <col min="7" max="7" width="11" bestFit="1" customWidth="1"/>
  </cols>
  <sheetData>
    <row r="1" spans="1:5" x14ac:dyDescent="0.25">
      <c r="A1" s="13" t="s">
        <v>16</v>
      </c>
      <c r="B1" t="s">
        <v>2069</v>
      </c>
    </row>
    <row r="2" spans="1:5" x14ac:dyDescent="0.25">
      <c r="A2" s="13" t="s">
        <v>2105</v>
      </c>
      <c r="B2" t="s">
        <v>2069</v>
      </c>
    </row>
    <row r="4" spans="1:5" x14ac:dyDescent="0.25">
      <c r="A4" s="13" t="s">
        <v>2035</v>
      </c>
      <c r="B4" s="13" t="s">
        <v>2080</v>
      </c>
    </row>
    <row r="5" spans="1:5" x14ac:dyDescent="0.25">
      <c r="A5" s="13" t="s">
        <v>2070</v>
      </c>
      <c r="B5" t="s">
        <v>82</v>
      </c>
      <c r="C5" t="s">
        <v>22</v>
      </c>
      <c r="D5" t="s">
        <v>28</v>
      </c>
      <c r="E5" t="s">
        <v>2036</v>
      </c>
    </row>
    <row r="6" spans="1:5" x14ac:dyDescent="0.25">
      <c r="A6" s="14" t="s">
        <v>2057</v>
      </c>
      <c r="B6" s="12">
        <v>6</v>
      </c>
      <c r="C6" s="12">
        <v>36</v>
      </c>
      <c r="D6" s="12">
        <v>49</v>
      </c>
      <c r="E6" s="12">
        <v>91</v>
      </c>
    </row>
    <row r="7" spans="1:5" x14ac:dyDescent="0.25">
      <c r="A7" s="14" t="s">
        <v>2058</v>
      </c>
      <c r="B7" s="12">
        <v>7</v>
      </c>
      <c r="C7" s="12">
        <v>28</v>
      </c>
      <c r="D7" s="12">
        <v>44</v>
      </c>
      <c r="E7" s="12">
        <v>79</v>
      </c>
    </row>
    <row r="8" spans="1:5" x14ac:dyDescent="0.25">
      <c r="A8" s="14" t="s">
        <v>2059</v>
      </c>
      <c r="B8" s="12">
        <v>4</v>
      </c>
      <c r="C8" s="12">
        <v>33</v>
      </c>
      <c r="D8" s="12">
        <v>49</v>
      </c>
      <c r="E8" s="12">
        <v>86</v>
      </c>
    </row>
    <row r="9" spans="1:5" x14ac:dyDescent="0.25">
      <c r="A9" s="14" t="s">
        <v>2060</v>
      </c>
      <c r="B9" s="12">
        <v>1</v>
      </c>
      <c r="C9" s="12">
        <v>30</v>
      </c>
      <c r="D9" s="12">
        <v>46</v>
      </c>
      <c r="E9" s="12">
        <v>77</v>
      </c>
    </row>
    <row r="10" spans="1:5" x14ac:dyDescent="0.25">
      <c r="A10" s="14" t="s">
        <v>2061</v>
      </c>
      <c r="B10" s="12">
        <v>3</v>
      </c>
      <c r="C10" s="12">
        <v>35</v>
      </c>
      <c r="D10" s="12">
        <v>46</v>
      </c>
      <c r="E10" s="12">
        <v>84</v>
      </c>
    </row>
    <row r="11" spans="1:5" x14ac:dyDescent="0.25">
      <c r="A11" s="14" t="s">
        <v>2062</v>
      </c>
      <c r="B11" s="12">
        <v>3</v>
      </c>
      <c r="C11" s="12">
        <v>28</v>
      </c>
      <c r="D11" s="12">
        <v>55</v>
      </c>
      <c r="E11" s="12">
        <v>86</v>
      </c>
    </row>
    <row r="12" spans="1:5" x14ac:dyDescent="0.25">
      <c r="A12" s="14" t="s">
        <v>2063</v>
      </c>
      <c r="B12" s="12">
        <v>4</v>
      </c>
      <c r="C12" s="12">
        <v>31</v>
      </c>
      <c r="D12" s="12">
        <v>58</v>
      </c>
      <c r="E12" s="12">
        <v>93</v>
      </c>
    </row>
    <row r="13" spans="1:5" x14ac:dyDescent="0.25">
      <c r="A13" s="14" t="s">
        <v>2064</v>
      </c>
      <c r="B13" s="12">
        <v>8</v>
      </c>
      <c r="C13" s="12">
        <v>35</v>
      </c>
      <c r="D13" s="12">
        <v>41</v>
      </c>
      <c r="E13" s="12">
        <v>84</v>
      </c>
    </row>
    <row r="14" spans="1:5" x14ac:dyDescent="0.25">
      <c r="A14" s="14" t="s">
        <v>2065</v>
      </c>
      <c r="B14" s="12">
        <v>5</v>
      </c>
      <c r="C14" s="12">
        <v>23</v>
      </c>
      <c r="D14" s="12">
        <v>45</v>
      </c>
      <c r="E14" s="12">
        <v>73</v>
      </c>
    </row>
    <row r="15" spans="1:5" x14ac:dyDescent="0.25">
      <c r="A15" s="14" t="s">
        <v>2066</v>
      </c>
      <c r="B15" s="12">
        <v>6</v>
      </c>
      <c r="C15" s="12">
        <v>26</v>
      </c>
      <c r="D15" s="12">
        <v>45</v>
      </c>
      <c r="E15" s="12">
        <v>77</v>
      </c>
    </row>
    <row r="16" spans="1:5" x14ac:dyDescent="0.25">
      <c r="A16" s="14" t="s">
        <v>2067</v>
      </c>
      <c r="B16" s="12">
        <v>3</v>
      </c>
      <c r="C16" s="12">
        <v>27</v>
      </c>
      <c r="D16" s="12">
        <v>45</v>
      </c>
      <c r="E16" s="12">
        <v>75</v>
      </c>
    </row>
    <row r="17" spans="1:5" x14ac:dyDescent="0.25">
      <c r="A17" s="14" t="s">
        <v>2068</v>
      </c>
      <c r="B17" s="12">
        <v>7</v>
      </c>
      <c r="C17" s="12">
        <v>32</v>
      </c>
      <c r="D17" s="12">
        <v>42</v>
      </c>
      <c r="E17" s="12">
        <v>81</v>
      </c>
    </row>
    <row r="18" spans="1:5" x14ac:dyDescent="0.25">
      <c r="A18" s="14" t="s">
        <v>2036</v>
      </c>
      <c r="B18" s="12">
        <v>57</v>
      </c>
      <c r="C18" s="12">
        <v>364</v>
      </c>
      <c r="D18" s="12">
        <v>565</v>
      </c>
      <c r="E18" s="12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000"/>
  <sheetViews>
    <sheetView workbookViewId="0"/>
  </sheetViews>
  <sheetFormatPr defaultColWidth="11.25" defaultRowHeight="15" customHeight="1" x14ac:dyDescent="0.25"/>
  <cols>
    <col min="1" max="1" width="31.5" customWidth="1"/>
    <col min="2" max="3" width="16.375" customWidth="1"/>
    <col min="4" max="5" width="15.375" customWidth="1"/>
    <col min="6" max="6" width="19" customWidth="1"/>
    <col min="7" max="7" width="19.25" customWidth="1"/>
    <col min="8" max="8" width="16.875" customWidth="1"/>
    <col min="9" max="26" width="8.5" customWidth="1"/>
  </cols>
  <sheetData>
    <row r="1" spans="1:8" ht="15.75" customHeight="1" x14ac:dyDescent="0.25">
      <c r="A1" s="5" t="s">
        <v>2037</v>
      </c>
      <c r="B1" s="5" t="s">
        <v>2038</v>
      </c>
      <c r="C1" s="5" t="s">
        <v>2039</v>
      </c>
      <c r="D1" s="5" t="s">
        <v>2040</v>
      </c>
      <c r="E1" s="5" t="s">
        <v>2041</v>
      </c>
      <c r="F1" s="8" t="s">
        <v>2042</v>
      </c>
      <c r="G1" s="8" t="s">
        <v>2043</v>
      </c>
      <c r="H1" s="8" t="s">
        <v>2044</v>
      </c>
    </row>
    <row r="2" spans="1:8" ht="15.75" customHeight="1" x14ac:dyDescent="0.25">
      <c r="A2" s="5" t="s">
        <v>2045</v>
      </c>
      <c r="B2" s="5">
        <f>COUNTIFS(Crowdfunding!$F$2:$F$1001,"successful",Crowdfunding!$D$2:'Crowdfunding'!$D$1001,"&lt;1000")</f>
        <v>30</v>
      </c>
      <c r="C2" s="5">
        <f>COUNTIFS(Crowdfunding!$F$2:$F$1001,"failed",Crowdfunding!$D$2:'Crowdfunding'!$D$1001,"&lt;1000")</f>
        <v>20</v>
      </c>
      <c r="D2" s="5">
        <f>COUNTIFS(Crowdfunding!$F$2:$F$1001,"canceled",Crowdfunding!$D$2:'Crowdfunding'!$D$1001,"&lt;1000")</f>
        <v>1</v>
      </c>
      <c r="E2" s="5">
        <f t="shared" ref="E2:E13" si="0">B2+C2+D2</f>
        <v>51</v>
      </c>
      <c r="F2" s="8">
        <f t="shared" ref="F2:F13" si="1">B2/E2</f>
        <v>0.58823529411764708</v>
      </c>
      <c r="G2" s="8">
        <f t="shared" ref="G2:G13" si="2">C2/E2</f>
        <v>0.39215686274509803</v>
      </c>
      <c r="H2" s="8">
        <f t="shared" ref="H2:H13" si="3">D2/E2</f>
        <v>1.9607843137254902E-2</v>
      </c>
    </row>
    <row r="3" spans="1:8" ht="15.75" customHeight="1" x14ac:dyDescent="0.25">
      <c r="A3" s="11" t="s">
        <v>2046</v>
      </c>
      <c r="B3" s="5">
        <f>COUNTIFS(Crowdfunding!$F$2:$F$1001,"successful",Crowdfunding!$D$2:'Crowdfunding'!$D$1001,"&gt;=1000",Crowdfunding!$D$2:'Crowdfunding'!$D$1001,"&lt;=4999")</f>
        <v>191</v>
      </c>
      <c r="C3" s="5">
        <f>COUNTIFS(Crowdfunding!$F$2:$F$1001,"failed",Crowdfunding!$D$2:'Crowdfunding'!$D$1001,"&gt;=1000",Crowdfunding!$D$2:'Crowdfunding'!$D$1001,"&lt;=4999")</f>
        <v>38</v>
      </c>
      <c r="D3" s="5">
        <f>COUNTIFS(Crowdfunding!$F$2:$F$1001,"canceled",Crowdfunding!$D$2:'Crowdfunding'!$D$1001,"&gt;=1000",Crowdfunding!$D$2:'Crowdfunding'!$D$1001,"&lt;=4999")</f>
        <v>2</v>
      </c>
      <c r="E3" s="5">
        <f t="shared" si="0"/>
        <v>231</v>
      </c>
      <c r="F3" s="8">
        <f t="shared" si="1"/>
        <v>0.82683982683982682</v>
      </c>
      <c r="G3" s="8">
        <f t="shared" si="2"/>
        <v>0.16450216450216451</v>
      </c>
      <c r="H3" s="8">
        <f t="shared" si="3"/>
        <v>8.658008658008658E-3</v>
      </c>
    </row>
    <row r="4" spans="1:8" ht="15.75" customHeight="1" x14ac:dyDescent="0.25">
      <c r="A4" s="11" t="s">
        <v>2047</v>
      </c>
      <c r="B4" s="5">
        <f>COUNTIFS(Crowdfunding!$F$2:$F$1001,"successful",Crowdfunding!$D$2:'Crowdfunding'!$D$1001,"&gt;4999",Crowdfunding!$D$2:'Crowdfunding'!$D$1001,"&lt;10000")</f>
        <v>164</v>
      </c>
      <c r="C4" s="5">
        <f>COUNTIFS(Crowdfunding!$F$2:$F$1001,"failed",Crowdfunding!$D$2:'Crowdfunding'!$D$1001,"&gt;4999",Crowdfunding!$D$2:'Crowdfunding'!$D$1001,"&lt;10000")</f>
        <v>126</v>
      </c>
      <c r="D4" s="5">
        <f>COUNTIFS(Crowdfunding!$F$2:$F$1001,"canceled",Crowdfunding!$D$2:'Crowdfunding'!$D$1001,"&gt;4999",Crowdfunding!$D$2:'Crowdfunding'!$D$1001,"&lt;10000")</f>
        <v>25</v>
      </c>
      <c r="E4" s="5">
        <f t="shared" si="0"/>
        <v>315</v>
      </c>
      <c r="F4" s="8">
        <f t="shared" si="1"/>
        <v>0.52063492063492067</v>
      </c>
      <c r="G4" s="8">
        <f t="shared" si="2"/>
        <v>0.4</v>
      </c>
      <c r="H4" s="8">
        <f t="shared" si="3"/>
        <v>7.9365079365079361E-2</v>
      </c>
    </row>
    <row r="5" spans="1:8" ht="15.75" customHeight="1" x14ac:dyDescent="0.25">
      <c r="A5" s="11" t="s">
        <v>2048</v>
      </c>
      <c r="B5" s="5">
        <f>COUNTIFS(Crowdfunding!$F$2:$F$1001,"successful",Crowdfunding!$D$2:'Crowdfunding'!$D$1001,"&gt;9999",Crowdfunding!$D$2:'Crowdfunding'!$D$1001,"&lt;15000")</f>
        <v>4</v>
      </c>
      <c r="C5" s="5">
        <f>COUNTIFS(Crowdfunding!$F$2:$F$1001,"failed",Crowdfunding!$D$2:'Crowdfunding'!$D$1001,"&gt;9999",Crowdfunding!$D$2:'Crowdfunding'!$D$1001,"&lt;15000")</f>
        <v>5</v>
      </c>
      <c r="D5" s="5">
        <f>COUNTIFS(Crowdfunding!$F$2:$F$1001,"canceled",Crowdfunding!$D$2:'Crowdfunding'!$D$1001,"&gt;9999",Crowdfunding!$D$2:'Crowdfunding'!$D$1001,"&lt;15000")</f>
        <v>0</v>
      </c>
      <c r="E5" s="5">
        <f t="shared" si="0"/>
        <v>9</v>
      </c>
      <c r="F5" s="8">
        <f t="shared" si="1"/>
        <v>0.44444444444444442</v>
      </c>
      <c r="G5" s="8">
        <f t="shared" si="2"/>
        <v>0.55555555555555558</v>
      </c>
      <c r="H5" s="8">
        <f t="shared" si="3"/>
        <v>0</v>
      </c>
    </row>
    <row r="6" spans="1:8" ht="15.75" customHeight="1" x14ac:dyDescent="0.25">
      <c r="A6" s="11" t="s">
        <v>2049</v>
      </c>
      <c r="B6" s="5">
        <f>COUNTIFS(Crowdfunding!$F$2:$F$1001,"successful",Crowdfunding!$D$2:'Crowdfunding'!$D$1001,"&gt;14999",Crowdfunding!$D$2:'Crowdfunding'!$D$1001,"&lt;20000")</f>
        <v>10</v>
      </c>
      <c r="C6" s="5">
        <f>COUNTIFS(Crowdfunding!$F$2:$F$1001,"failed",Crowdfunding!$D$2:'Crowdfunding'!$D$1001,"&gt;14999",Crowdfunding!$D$2:'Crowdfunding'!$D$1001,"&lt;20000")</f>
        <v>0</v>
      </c>
      <c r="D6" s="5">
        <f>COUNTIFS(Crowdfunding!$F$2:$F$1001,"canceled",Crowdfunding!$D$2:'Crowdfunding'!$D$1001,"&gt;14999",Crowdfunding!$D$2:'Crowdfunding'!$D$1001,"&lt;20000")</f>
        <v>0</v>
      </c>
      <c r="E6" s="5">
        <f t="shared" si="0"/>
        <v>10</v>
      </c>
      <c r="F6" s="8">
        <f t="shared" si="1"/>
        <v>1</v>
      </c>
      <c r="G6" s="8">
        <f t="shared" si="2"/>
        <v>0</v>
      </c>
      <c r="H6" s="8">
        <f t="shared" si="3"/>
        <v>0</v>
      </c>
    </row>
    <row r="7" spans="1:8" ht="15.75" customHeight="1" x14ac:dyDescent="0.25">
      <c r="A7" s="11" t="s">
        <v>2050</v>
      </c>
      <c r="B7" s="5">
        <f>COUNTIFS(Crowdfunding!$F$2:$F$1001,"successful",Crowdfunding!$D$2:'Crowdfunding'!$D$1001,"&gt;19999",Crowdfunding!$D$2:'Crowdfunding'!$D$1001,"&lt;25000")</f>
        <v>7</v>
      </c>
      <c r="C7" s="5">
        <f>COUNTIFS(Crowdfunding!$F$2:$F$1001,"failed",Crowdfunding!$D$2:'Crowdfunding'!$D$1001,"&gt;19999",Crowdfunding!$D$2:'Crowdfunding'!$D$1001,"&lt;25000")</f>
        <v>0</v>
      </c>
      <c r="D7" s="5">
        <f>COUNTIFS(Crowdfunding!$F$2:$F$1001,"canceled",Crowdfunding!$D$2:'Crowdfunding'!$D$1001,"&gt;19999",Crowdfunding!$D$2:'Crowdfunding'!$D$1001,"&lt;25000")</f>
        <v>0</v>
      </c>
      <c r="E7" s="5">
        <f t="shared" si="0"/>
        <v>7</v>
      </c>
      <c r="F7" s="8">
        <f t="shared" si="1"/>
        <v>1</v>
      </c>
      <c r="G7" s="8">
        <f t="shared" si="2"/>
        <v>0</v>
      </c>
      <c r="H7" s="8">
        <f t="shared" si="3"/>
        <v>0</v>
      </c>
    </row>
    <row r="8" spans="1:8" ht="15.75" customHeight="1" x14ac:dyDescent="0.25">
      <c r="A8" s="11" t="s">
        <v>2051</v>
      </c>
      <c r="B8" s="5">
        <f>COUNTIFS(Crowdfunding!$F$2:$F$1001,"successful",Crowdfunding!$D$2:'Crowdfunding'!$D$1001,"&gt;24999",Crowdfunding!$D$2:'Crowdfunding'!$D$1001,"&lt;30000")</f>
        <v>11</v>
      </c>
      <c r="C8" s="5">
        <f>COUNTIFS(Crowdfunding!$F$2:$F$1001,"failed",Crowdfunding!$D$2:'Crowdfunding'!$D$1001,"&gt;24999",Crowdfunding!$D$2:'Crowdfunding'!$D$1001,"&lt;30000")</f>
        <v>3</v>
      </c>
      <c r="D8" s="5">
        <f>COUNTIFS(Crowdfunding!$F$2:$F$1001,"canceled",Crowdfunding!$D$2:'Crowdfunding'!$D$1001,"&gt;24999",Crowdfunding!$D$2:'Crowdfunding'!$D$1001,"&lt;30000")</f>
        <v>0</v>
      </c>
      <c r="E8" s="5">
        <f t="shared" si="0"/>
        <v>14</v>
      </c>
      <c r="F8" s="8">
        <f t="shared" si="1"/>
        <v>0.7857142857142857</v>
      </c>
      <c r="G8" s="8">
        <f t="shared" si="2"/>
        <v>0.21428571428571427</v>
      </c>
      <c r="H8" s="8">
        <f t="shared" si="3"/>
        <v>0</v>
      </c>
    </row>
    <row r="9" spans="1:8" ht="15.75" customHeight="1" x14ac:dyDescent="0.25">
      <c r="A9" s="11" t="s">
        <v>2052</v>
      </c>
      <c r="B9" s="5">
        <f>COUNTIFS(Crowdfunding!$F$2:$F$1001,"successful",Crowdfunding!$D$2:'Crowdfunding'!$D$1001,"&gt;29999",Crowdfunding!$D$2:'Crowdfunding'!$D$1001,"&lt;35000")</f>
        <v>7</v>
      </c>
      <c r="C9" s="5">
        <f>COUNTIFS(Crowdfunding!$F$2:$F$1001,"failed",Crowdfunding!$D$2:'Crowdfunding'!$D$1001,"&gt;29999",Crowdfunding!$D$2:'Crowdfunding'!$D$1001,"&lt;35000")</f>
        <v>0</v>
      </c>
      <c r="D9" s="5">
        <f>COUNTIFS(Crowdfunding!$F$2:$F$1001,"canceled",Crowdfunding!$D$2:'Crowdfunding'!$D$1001,"&gt;29999",Crowdfunding!$D$2:'Crowdfunding'!$D$1001,"&lt;35000")</f>
        <v>0</v>
      </c>
      <c r="E9" s="5">
        <f t="shared" si="0"/>
        <v>7</v>
      </c>
      <c r="F9" s="8">
        <f t="shared" si="1"/>
        <v>1</v>
      </c>
      <c r="G9" s="8">
        <f t="shared" si="2"/>
        <v>0</v>
      </c>
      <c r="H9" s="8">
        <f t="shared" si="3"/>
        <v>0</v>
      </c>
    </row>
    <row r="10" spans="1:8" ht="15.75" customHeight="1" x14ac:dyDescent="0.25">
      <c r="A10" s="11" t="s">
        <v>2053</v>
      </c>
      <c r="B10" s="5">
        <f>COUNTIFS(Crowdfunding!$F$2:$F$1001,"successful",Crowdfunding!$D$2:'Crowdfunding'!$D$1001,"&gt;34999",Crowdfunding!$D$2:'Crowdfunding'!$D$1001,"&lt;40000")</f>
        <v>8</v>
      </c>
      <c r="C10" s="5">
        <f>COUNTIFS(Crowdfunding!$F$2:$F$1001,"failed",Crowdfunding!$D$2:'Crowdfunding'!$D$1001,"&gt;34999",Crowdfunding!$D$2:'Crowdfunding'!$D$1001,"&lt;40000")</f>
        <v>3</v>
      </c>
      <c r="D10" s="5">
        <f>COUNTIFS(Crowdfunding!$F$2:$F$1001,"canceled",Crowdfunding!$D$2:'Crowdfunding'!$D$1001,"&gt;34999",Crowdfunding!$D$2:'Crowdfunding'!$D$1001,"&lt;40000")</f>
        <v>1</v>
      </c>
      <c r="E10" s="5">
        <f t="shared" si="0"/>
        <v>12</v>
      </c>
      <c r="F10" s="8">
        <f t="shared" si="1"/>
        <v>0.66666666666666663</v>
      </c>
      <c r="G10" s="8">
        <f t="shared" si="2"/>
        <v>0.25</v>
      </c>
      <c r="H10" s="8">
        <f t="shared" si="3"/>
        <v>8.3333333333333329E-2</v>
      </c>
    </row>
    <row r="11" spans="1:8" ht="15.75" customHeight="1" x14ac:dyDescent="0.25">
      <c r="A11" s="11" t="s">
        <v>2054</v>
      </c>
      <c r="B11" s="5">
        <f>COUNTIFS(Crowdfunding!$F$2:$F$1001,"successful",Crowdfunding!$D$2:'Crowdfunding'!$D$1001,"&gt;39999",Crowdfunding!$D$2:'Crowdfunding'!$D$1001,"&lt;45000")</f>
        <v>11</v>
      </c>
      <c r="C11" s="5">
        <f>COUNTIFS(Crowdfunding!$F$2:$F$1001,"failed",Crowdfunding!$D$2:'Crowdfunding'!$D$1001,"&gt;39999",Crowdfunding!$D$2:'Crowdfunding'!$D$1001,"&lt;45000")</f>
        <v>3</v>
      </c>
      <c r="D11" s="5">
        <f>COUNTIFS(Crowdfunding!$F$2:$F$1001,"canceled",Crowdfunding!$D$2:'Crowdfunding'!$D$1001,"&gt;39999",Crowdfunding!$D$2:'Crowdfunding'!$D$1001,"&lt;45000")</f>
        <v>0</v>
      </c>
      <c r="E11" s="5">
        <f t="shared" si="0"/>
        <v>14</v>
      </c>
      <c r="F11" s="8">
        <f t="shared" si="1"/>
        <v>0.7857142857142857</v>
      </c>
      <c r="G11" s="8">
        <f t="shared" si="2"/>
        <v>0.21428571428571427</v>
      </c>
      <c r="H11" s="8">
        <f t="shared" si="3"/>
        <v>0</v>
      </c>
    </row>
    <row r="12" spans="1:8" ht="15.75" customHeight="1" x14ac:dyDescent="0.25">
      <c r="A12" s="11" t="s">
        <v>2055</v>
      </c>
      <c r="B12" s="5">
        <f>COUNTIFS(Crowdfunding!$F$2:$F$1001,"successful",Crowdfunding!$D$2:'Crowdfunding'!$D$1001,"&gt;44999",Crowdfunding!$D$2:'Crowdfunding'!$D$1001,"&lt;50000")</f>
        <v>8</v>
      </c>
      <c r="C12" s="5">
        <f>COUNTIFS(Crowdfunding!$F$2:$F$1001,"failed",Crowdfunding!$D$2:'Crowdfunding'!$D$1001,"&gt;44999",Crowdfunding!$D$2:'Crowdfunding'!$D$1001,"&lt;50000")</f>
        <v>3</v>
      </c>
      <c r="D12" s="5">
        <f>COUNTIFS(Crowdfunding!$F$2:$F$1001,"canceled",Crowdfunding!$D$2:'Crowdfunding'!$D$1001,"&gt;44999",Crowdfunding!$D$2:'Crowdfunding'!$D$1001,"&lt;50000")</f>
        <v>0</v>
      </c>
      <c r="E12" s="5">
        <f t="shared" si="0"/>
        <v>11</v>
      </c>
      <c r="F12" s="8">
        <f t="shared" si="1"/>
        <v>0.72727272727272729</v>
      </c>
      <c r="G12" s="8">
        <f t="shared" si="2"/>
        <v>0.27272727272727271</v>
      </c>
      <c r="H12" s="8">
        <f t="shared" si="3"/>
        <v>0</v>
      </c>
    </row>
    <row r="13" spans="1:8" ht="15.75" customHeight="1" x14ac:dyDescent="0.25">
      <c r="A13" s="11" t="s">
        <v>2056</v>
      </c>
      <c r="B13" s="5">
        <f>COUNTIFS(Crowdfunding!$F$2:$F$1001,"successful",Crowdfunding!$D$2:'Crowdfunding'!$D$1001,"&gt;=50000")</f>
        <v>114</v>
      </c>
      <c r="C13" s="5">
        <f>COUNTIFS(Crowdfunding!$F$2:$F$1001,"failed",Crowdfunding!$D$2:'Crowdfunding'!$D$1001,"&gt;=50000")</f>
        <v>163</v>
      </c>
      <c r="D13" s="5">
        <f>COUNTIFS(Crowdfunding!$F$2:$F$1001,"canceled",Crowdfunding!$D$2:'Crowdfunding'!$D$1001,"&gt;=50000")</f>
        <v>28</v>
      </c>
      <c r="E13" s="5">
        <f t="shared" si="0"/>
        <v>305</v>
      </c>
      <c r="F13" s="8">
        <f t="shared" si="1"/>
        <v>0.3737704918032787</v>
      </c>
      <c r="G13" s="8">
        <f t="shared" si="2"/>
        <v>0.53442622950819674</v>
      </c>
      <c r="H13" s="8">
        <f t="shared" si="3"/>
        <v>9.1803278688524587E-2</v>
      </c>
    </row>
    <row r="14" spans="1:8" ht="15.75" customHeight="1" x14ac:dyDescent="0.25">
      <c r="F14" s="8"/>
      <c r="G14" s="8"/>
      <c r="H14" s="8"/>
    </row>
    <row r="15" spans="1:8" ht="15.75" customHeight="1" x14ac:dyDescent="0.25">
      <c r="F15" s="8"/>
      <c r="G15" s="8"/>
      <c r="H15" s="8"/>
    </row>
    <row r="16" spans="1:8" ht="15.75" customHeight="1" x14ac:dyDescent="0.25">
      <c r="F16" s="8"/>
      <c r="G16" s="8"/>
      <c r="H16" s="8"/>
    </row>
    <row r="17" spans="6:8" ht="15.75" customHeight="1" x14ac:dyDescent="0.25">
      <c r="F17" s="8"/>
      <c r="G17" s="8"/>
      <c r="H17" s="8"/>
    </row>
    <row r="18" spans="6:8" ht="15.75" customHeight="1" x14ac:dyDescent="0.25">
      <c r="F18" s="8"/>
      <c r="G18" s="8"/>
      <c r="H18" s="8"/>
    </row>
    <row r="19" spans="6:8" ht="15.75" customHeight="1" x14ac:dyDescent="0.25">
      <c r="F19" s="8"/>
      <c r="G19" s="8"/>
      <c r="H19" s="8"/>
    </row>
    <row r="20" spans="6:8" ht="15.75" customHeight="1" x14ac:dyDescent="0.25">
      <c r="F20" s="8"/>
      <c r="G20" s="8"/>
      <c r="H20" s="8"/>
    </row>
    <row r="21" spans="6:8" ht="15.75" customHeight="1" x14ac:dyDescent="0.25">
      <c r="F21" s="8"/>
      <c r="G21" s="8"/>
      <c r="H21" s="8"/>
    </row>
    <row r="22" spans="6:8" ht="15.75" customHeight="1" x14ac:dyDescent="0.25">
      <c r="F22" s="8"/>
      <c r="G22" s="8"/>
      <c r="H22" s="8"/>
    </row>
    <row r="23" spans="6:8" ht="15.75" customHeight="1" x14ac:dyDescent="0.25">
      <c r="F23" s="8"/>
      <c r="G23" s="8"/>
      <c r="H23" s="8"/>
    </row>
    <row r="24" spans="6:8" ht="15.75" customHeight="1" x14ac:dyDescent="0.25">
      <c r="F24" s="8"/>
      <c r="G24" s="8"/>
      <c r="H24" s="8"/>
    </row>
    <row r="25" spans="6:8" ht="15.75" customHeight="1" x14ac:dyDescent="0.25">
      <c r="F25" s="8"/>
      <c r="G25" s="8"/>
      <c r="H25" s="8"/>
    </row>
    <row r="26" spans="6:8" ht="15.75" customHeight="1" x14ac:dyDescent="0.25">
      <c r="F26" s="8"/>
      <c r="G26" s="8"/>
      <c r="H26" s="8"/>
    </row>
    <row r="27" spans="6:8" ht="15.75" customHeight="1" x14ac:dyDescent="0.25">
      <c r="F27" s="8"/>
      <c r="G27" s="8"/>
      <c r="H27" s="8"/>
    </row>
    <row r="28" spans="6:8" ht="15.75" customHeight="1" x14ac:dyDescent="0.25">
      <c r="F28" s="8"/>
      <c r="G28" s="8"/>
      <c r="H28" s="8"/>
    </row>
    <row r="29" spans="6:8" ht="15.75" customHeight="1" x14ac:dyDescent="0.25">
      <c r="F29" s="8"/>
      <c r="G29" s="8"/>
      <c r="H29" s="8"/>
    </row>
    <row r="30" spans="6:8" ht="15.75" customHeight="1" x14ac:dyDescent="0.25">
      <c r="F30" s="8"/>
      <c r="G30" s="8"/>
      <c r="H30" s="8"/>
    </row>
    <row r="31" spans="6:8" ht="15.75" customHeight="1" x14ac:dyDescent="0.25">
      <c r="F31" s="8"/>
      <c r="G31" s="8"/>
      <c r="H31" s="8"/>
    </row>
    <row r="32" spans="6:8" ht="15.75" customHeight="1" x14ac:dyDescent="0.25">
      <c r="F32" s="8"/>
      <c r="G32" s="8"/>
      <c r="H32" s="8"/>
    </row>
    <row r="33" spans="6:8" ht="15.75" customHeight="1" x14ac:dyDescent="0.25">
      <c r="F33" s="8"/>
      <c r="G33" s="8"/>
      <c r="H33" s="8"/>
    </row>
    <row r="34" spans="6:8" ht="15.75" customHeight="1" x14ac:dyDescent="0.25">
      <c r="F34" s="8"/>
      <c r="G34" s="8"/>
      <c r="H34" s="8"/>
    </row>
    <row r="35" spans="6:8" ht="15.75" customHeight="1" x14ac:dyDescent="0.25">
      <c r="F35" s="8"/>
      <c r="G35" s="8"/>
      <c r="H35" s="8"/>
    </row>
    <row r="36" spans="6:8" ht="15.75" customHeight="1" x14ac:dyDescent="0.25">
      <c r="F36" s="8"/>
      <c r="G36" s="8"/>
      <c r="H36" s="8"/>
    </row>
    <row r="37" spans="6:8" ht="15.75" customHeight="1" x14ac:dyDescent="0.25">
      <c r="F37" s="8"/>
      <c r="G37" s="8"/>
      <c r="H37" s="8"/>
    </row>
    <row r="38" spans="6:8" ht="15.75" customHeight="1" x14ac:dyDescent="0.25">
      <c r="F38" s="8"/>
      <c r="G38" s="8"/>
      <c r="H38" s="8"/>
    </row>
    <row r="39" spans="6:8" ht="15.75" customHeight="1" x14ac:dyDescent="0.25">
      <c r="F39" s="8"/>
      <c r="G39" s="8"/>
      <c r="H39" s="8"/>
    </row>
    <row r="40" spans="6:8" ht="15.75" customHeight="1" x14ac:dyDescent="0.25">
      <c r="F40" s="8"/>
      <c r="G40" s="8"/>
      <c r="H40" s="8"/>
    </row>
    <row r="41" spans="6:8" ht="15.75" customHeight="1" x14ac:dyDescent="0.25">
      <c r="F41" s="8"/>
      <c r="G41" s="8"/>
      <c r="H41" s="8"/>
    </row>
    <row r="42" spans="6:8" ht="15.75" customHeight="1" x14ac:dyDescent="0.25">
      <c r="F42" s="8"/>
      <c r="G42" s="8"/>
      <c r="H42" s="8"/>
    </row>
    <row r="43" spans="6:8" ht="15.75" customHeight="1" x14ac:dyDescent="0.25">
      <c r="F43" s="8"/>
      <c r="G43" s="8"/>
      <c r="H43" s="8"/>
    </row>
    <row r="44" spans="6:8" ht="15.75" customHeight="1" x14ac:dyDescent="0.25">
      <c r="F44" s="8"/>
      <c r="G44" s="8"/>
      <c r="H44" s="8"/>
    </row>
    <row r="45" spans="6:8" ht="15.75" customHeight="1" x14ac:dyDescent="0.25">
      <c r="F45" s="8"/>
      <c r="G45" s="8"/>
      <c r="H45" s="8"/>
    </row>
    <row r="46" spans="6:8" ht="15.75" customHeight="1" x14ac:dyDescent="0.25">
      <c r="F46" s="8"/>
      <c r="G46" s="8"/>
      <c r="H46" s="8"/>
    </row>
    <row r="47" spans="6:8" ht="15.75" customHeight="1" x14ac:dyDescent="0.25">
      <c r="F47" s="8"/>
      <c r="G47" s="8"/>
      <c r="H47" s="8"/>
    </row>
    <row r="48" spans="6:8" ht="15.75" customHeight="1" x14ac:dyDescent="0.25">
      <c r="F48" s="8"/>
      <c r="G48" s="8"/>
      <c r="H48" s="8"/>
    </row>
    <row r="49" spans="6:8" ht="15.75" customHeight="1" x14ac:dyDescent="0.25">
      <c r="F49" s="8"/>
      <c r="G49" s="8"/>
      <c r="H49" s="8"/>
    </row>
    <row r="50" spans="6:8" ht="15.75" customHeight="1" x14ac:dyDescent="0.25">
      <c r="F50" s="8"/>
      <c r="G50" s="8"/>
      <c r="H50" s="8"/>
    </row>
    <row r="51" spans="6:8" ht="15.75" customHeight="1" x14ac:dyDescent="0.25">
      <c r="F51" s="8"/>
      <c r="G51" s="8"/>
      <c r="H51" s="8"/>
    </row>
    <row r="52" spans="6:8" ht="15.75" customHeight="1" x14ac:dyDescent="0.25">
      <c r="F52" s="8"/>
      <c r="G52" s="8"/>
      <c r="H52" s="8"/>
    </row>
    <row r="53" spans="6:8" ht="15.75" customHeight="1" x14ac:dyDescent="0.25">
      <c r="F53" s="8"/>
      <c r="G53" s="8"/>
      <c r="H53" s="8"/>
    </row>
    <row r="54" spans="6:8" ht="15.75" customHeight="1" x14ac:dyDescent="0.25">
      <c r="F54" s="8"/>
      <c r="G54" s="8"/>
      <c r="H54" s="8"/>
    </row>
    <row r="55" spans="6:8" ht="15.75" customHeight="1" x14ac:dyDescent="0.25">
      <c r="F55" s="8"/>
      <c r="G55" s="8"/>
      <c r="H55" s="8"/>
    </row>
    <row r="56" spans="6:8" ht="15.75" customHeight="1" x14ac:dyDescent="0.25">
      <c r="F56" s="8"/>
      <c r="G56" s="8"/>
      <c r="H56" s="8"/>
    </row>
    <row r="57" spans="6:8" ht="15.75" customHeight="1" x14ac:dyDescent="0.25">
      <c r="F57" s="8"/>
      <c r="G57" s="8"/>
      <c r="H57" s="8"/>
    </row>
    <row r="58" spans="6:8" ht="15.75" customHeight="1" x14ac:dyDescent="0.25">
      <c r="F58" s="8"/>
      <c r="G58" s="8"/>
      <c r="H58" s="8"/>
    </row>
    <row r="59" spans="6:8" ht="15.75" customHeight="1" x14ac:dyDescent="0.25">
      <c r="F59" s="8"/>
      <c r="G59" s="8"/>
      <c r="H59" s="8"/>
    </row>
    <row r="60" spans="6:8" ht="15.75" customHeight="1" x14ac:dyDescent="0.25">
      <c r="F60" s="8"/>
      <c r="G60" s="8"/>
      <c r="H60" s="8"/>
    </row>
    <row r="61" spans="6:8" ht="15.75" customHeight="1" x14ac:dyDescent="0.25">
      <c r="F61" s="8"/>
      <c r="G61" s="8"/>
      <c r="H61" s="8"/>
    </row>
    <row r="62" spans="6:8" ht="15.75" customHeight="1" x14ac:dyDescent="0.25">
      <c r="F62" s="8"/>
      <c r="G62" s="8"/>
      <c r="H62" s="8"/>
    </row>
    <row r="63" spans="6:8" ht="15.75" customHeight="1" x14ac:dyDescent="0.25">
      <c r="F63" s="8"/>
      <c r="G63" s="8"/>
      <c r="H63" s="8"/>
    </row>
    <row r="64" spans="6:8" ht="15.75" customHeight="1" x14ac:dyDescent="0.25">
      <c r="F64" s="8"/>
      <c r="G64" s="8"/>
      <c r="H64" s="8"/>
    </row>
    <row r="65" spans="6:8" ht="15.75" customHeight="1" x14ac:dyDescent="0.25">
      <c r="F65" s="8"/>
      <c r="G65" s="8"/>
      <c r="H65" s="8"/>
    </row>
    <row r="66" spans="6:8" ht="15.75" customHeight="1" x14ac:dyDescent="0.25">
      <c r="F66" s="8"/>
      <c r="G66" s="8"/>
      <c r="H66" s="8"/>
    </row>
    <row r="67" spans="6:8" ht="15.75" customHeight="1" x14ac:dyDescent="0.25">
      <c r="F67" s="8"/>
      <c r="G67" s="8"/>
      <c r="H67" s="8"/>
    </row>
    <row r="68" spans="6:8" ht="15.75" customHeight="1" x14ac:dyDescent="0.25">
      <c r="F68" s="8"/>
      <c r="G68" s="8"/>
      <c r="H68" s="8"/>
    </row>
    <row r="69" spans="6:8" ht="15.75" customHeight="1" x14ac:dyDescent="0.25">
      <c r="F69" s="8"/>
      <c r="G69" s="8"/>
      <c r="H69" s="8"/>
    </row>
    <row r="70" spans="6:8" ht="15.75" customHeight="1" x14ac:dyDescent="0.25">
      <c r="F70" s="8"/>
      <c r="G70" s="8"/>
      <c r="H70" s="8"/>
    </row>
    <row r="71" spans="6:8" ht="15.75" customHeight="1" x14ac:dyDescent="0.25">
      <c r="F71" s="8"/>
      <c r="G71" s="8"/>
      <c r="H71" s="8"/>
    </row>
    <row r="72" spans="6:8" ht="15.75" customHeight="1" x14ac:dyDescent="0.25">
      <c r="F72" s="8"/>
      <c r="G72" s="8"/>
      <c r="H72" s="8"/>
    </row>
    <row r="73" spans="6:8" ht="15.75" customHeight="1" x14ac:dyDescent="0.25">
      <c r="F73" s="8"/>
      <c r="G73" s="8"/>
      <c r="H73" s="8"/>
    </row>
    <row r="74" spans="6:8" ht="15.75" customHeight="1" x14ac:dyDescent="0.25">
      <c r="F74" s="8"/>
      <c r="G74" s="8"/>
      <c r="H74" s="8"/>
    </row>
    <row r="75" spans="6:8" ht="15.75" customHeight="1" x14ac:dyDescent="0.25">
      <c r="F75" s="8"/>
      <c r="G75" s="8"/>
      <c r="H75" s="8"/>
    </row>
    <row r="76" spans="6:8" ht="15.75" customHeight="1" x14ac:dyDescent="0.25">
      <c r="F76" s="8"/>
      <c r="G76" s="8"/>
      <c r="H76" s="8"/>
    </row>
    <row r="77" spans="6:8" ht="15.75" customHeight="1" x14ac:dyDescent="0.25">
      <c r="F77" s="8"/>
      <c r="G77" s="8"/>
      <c r="H77" s="8"/>
    </row>
    <row r="78" spans="6:8" ht="15.75" customHeight="1" x14ac:dyDescent="0.25">
      <c r="F78" s="8"/>
      <c r="G78" s="8"/>
      <c r="H78" s="8"/>
    </row>
    <row r="79" spans="6:8" ht="15.75" customHeight="1" x14ac:dyDescent="0.25">
      <c r="F79" s="8"/>
      <c r="G79" s="8"/>
      <c r="H79" s="8"/>
    </row>
    <row r="80" spans="6:8" ht="15.75" customHeight="1" x14ac:dyDescent="0.25">
      <c r="F80" s="8"/>
      <c r="G80" s="8"/>
      <c r="H80" s="8"/>
    </row>
    <row r="81" spans="6:8" ht="15.75" customHeight="1" x14ac:dyDescent="0.25">
      <c r="F81" s="8"/>
      <c r="G81" s="8"/>
      <c r="H81" s="8"/>
    </row>
    <row r="82" spans="6:8" ht="15.75" customHeight="1" x14ac:dyDescent="0.25">
      <c r="F82" s="8"/>
      <c r="G82" s="8"/>
      <c r="H82" s="8"/>
    </row>
    <row r="83" spans="6:8" ht="15.75" customHeight="1" x14ac:dyDescent="0.25">
      <c r="F83" s="8"/>
      <c r="G83" s="8"/>
      <c r="H83" s="8"/>
    </row>
    <row r="84" spans="6:8" ht="15.75" customHeight="1" x14ac:dyDescent="0.25">
      <c r="F84" s="8"/>
      <c r="G84" s="8"/>
      <c r="H84" s="8"/>
    </row>
    <row r="85" spans="6:8" ht="15.75" customHeight="1" x14ac:dyDescent="0.25">
      <c r="F85" s="8"/>
      <c r="G85" s="8"/>
      <c r="H85" s="8"/>
    </row>
    <row r="86" spans="6:8" ht="15.75" customHeight="1" x14ac:dyDescent="0.25">
      <c r="F86" s="8"/>
      <c r="G86" s="8"/>
      <c r="H86" s="8"/>
    </row>
    <row r="87" spans="6:8" ht="15.75" customHeight="1" x14ac:dyDescent="0.25">
      <c r="F87" s="8"/>
      <c r="G87" s="8"/>
      <c r="H87" s="8"/>
    </row>
    <row r="88" spans="6:8" ht="15.75" customHeight="1" x14ac:dyDescent="0.25">
      <c r="F88" s="8"/>
      <c r="G88" s="8"/>
      <c r="H88" s="8"/>
    </row>
    <row r="89" spans="6:8" ht="15.75" customHeight="1" x14ac:dyDescent="0.25">
      <c r="F89" s="8"/>
      <c r="G89" s="8"/>
      <c r="H89" s="8"/>
    </row>
    <row r="90" spans="6:8" ht="15.75" customHeight="1" x14ac:dyDescent="0.25">
      <c r="F90" s="8"/>
      <c r="G90" s="8"/>
      <c r="H90" s="8"/>
    </row>
    <row r="91" spans="6:8" ht="15.75" customHeight="1" x14ac:dyDescent="0.25">
      <c r="F91" s="8"/>
      <c r="G91" s="8"/>
      <c r="H91" s="8"/>
    </row>
    <row r="92" spans="6:8" ht="15.75" customHeight="1" x14ac:dyDescent="0.25">
      <c r="F92" s="8"/>
      <c r="G92" s="8"/>
      <c r="H92" s="8"/>
    </row>
    <row r="93" spans="6:8" ht="15.75" customHeight="1" x14ac:dyDescent="0.25">
      <c r="F93" s="8"/>
      <c r="G93" s="8"/>
      <c r="H93" s="8"/>
    </row>
    <row r="94" spans="6:8" ht="15.75" customHeight="1" x14ac:dyDescent="0.25">
      <c r="F94" s="8"/>
      <c r="G94" s="8"/>
      <c r="H94" s="8"/>
    </row>
    <row r="95" spans="6:8" ht="15.75" customHeight="1" x14ac:dyDescent="0.25">
      <c r="F95" s="8"/>
      <c r="G95" s="8"/>
      <c r="H95" s="8"/>
    </row>
    <row r="96" spans="6:8" ht="15.75" customHeight="1" x14ac:dyDescent="0.25">
      <c r="F96" s="8"/>
      <c r="G96" s="8"/>
      <c r="H96" s="8"/>
    </row>
    <row r="97" spans="6:8" ht="15.75" customHeight="1" x14ac:dyDescent="0.25">
      <c r="F97" s="8"/>
      <c r="G97" s="8"/>
      <c r="H97" s="8"/>
    </row>
    <row r="98" spans="6:8" ht="15.75" customHeight="1" x14ac:dyDescent="0.25">
      <c r="F98" s="8"/>
      <c r="G98" s="8"/>
      <c r="H98" s="8"/>
    </row>
    <row r="99" spans="6:8" ht="15.75" customHeight="1" x14ac:dyDescent="0.25">
      <c r="F99" s="8"/>
      <c r="G99" s="8"/>
      <c r="H99" s="8"/>
    </row>
    <row r="100" spans="6:8" ht="15.75" customHeight="1" x14ac:dyDescent="0.25">
      <c r="F100" s="8"/>
      <c r="G100" s="8"/>
      <c r="H100" s="8"/>
    </row>
    <row r="101" spans="6:8" ht="15.75" customHeight="1" x14ac:dyDescent="0.25">
      <c r="F101" s="8"/>
      <c r="G101" s="8"/>
      <c r="H101" s="8"/>
    </row>
    <row r="102" spans="6:8" ht="15.75" customHeight="1" x14ac:dyDescent="0.25">
      <c r="F102" s="8"/>
      <c r="G102" s="8"/>
      <c r="H102" s="8"/>
    </row>
    <row r="103" spans="6:8" ht="15.75" customHeight="1" x14ac:dyDescent="0.25">
      <c r="F103" s="8"/>
      <c r="G103" s="8"/>
      <c r="H103" s="8"/>
    </row>
    <row r="104" spans="6:8" ht="15.75" customHeight="1" x14ac:dyDescent="0.25">
      <c r="F104" s="8"/>
      <c r="G104" s="8"/>
      <c r="H104" s="8"/>
    </row>
    <row r="105" spans="6:8" ht="15.75" customHeight="1" x14ac:dyDescent="0.25">
      <c r="F105" s="8"/>
      <c r="G105" s="8"/>
      <c r="H105" s="8"/>
    </row>
    <row r="106" spans="6:8" ht="15.75" customHeight="1" x14ac:dyDescent="0.25">
      <c r="F106" s="8"/>
      <c r="G106" s="8"/>
      <c r="H106" s="8"/>
    </row>
    <row r="107" spans="6:8" ht="15.75" customHeight="1" x14ac:dyDescent="0.25">
      <c r="F107" s="8"/>
      <c r="G107" s="8"/>
      <c r="H107" s="8"/>
    </row>
    <row r="108" spans="6:8" ht="15.75" customHeight="1" x14ac:dyDescent="0.25">
      <c r="F108" s="8"/>
      <c r="G108" s="8"/>
      <c r="H108" s="8"/>
    </row>
    <row r="109" spans="6:8" ht="15.75" customHeight="1" x14ac:dyDescent="0.25">
      <c r="F109" s="8"/>
      <c r="G109" s="8"/>
      <c r="H109" s="8"/>
    </row>
    <row r="110" spans="6:8" ht="15.75" customHeight="1" x14ac:dyDescent="0.25">
      <c r="F110" s="8"/>
      <c r="G110" s="8"/>
      <c r="H110" s="8"/>
    </row>
    <row r="111" spans="6:8" ht="15.75" customHeight="1" x14ac:dyDescent="0.25">
      <c r="F111" s="8"/>
      <c r="G111" s="8"/>
      <c r="H111" s="8"/>
    </row>
    <row r="112" spans="6:8" ht="15.75" customHeight="1" x14ac:dyDescent="0.25">
      <c r="F112" s="8"/>
      <c r="G112" s="8"/>
      <c r="H112" s="8"/>
    </row>
    <row r="113" spans="6:8" ht="15.75" customHeight="1" x14ac:dyDescent="0.25">
      <c r="F113" s="8"/>
      <c r="G113" s="8"/>
      <c r="H113" s="8"/>
    </row>
    <row r="114" spans="6:8" ht="15.75" customHeight="1" x14ac:dyDescent="0.25">
      <c r="F114" s="8"/>
      <c r="G114" s="8"/>
      <c r="H114" s="8"/>
    </row>
    <row r="115" spans="6:8" ht="15.75" customHeight="1" x14ac:dyDescent="0.25">
      <c r="F115" s="8"/>
      <c r="G115" s="8"/>
      <c r="H115" s="8"/>
    </row>
    <row r="116" spans="6:8" ht="15.75" customHeight="1" x14ac:dyDescent="0.25">
      <c r="F116" s="8"/>
      <c r="G116" s="8"/>
      <c r="H116" s="8"/>
    </row>
    <row r="117" spans="6:8" ht="15.75" customHeight="1" x14ac:dyDescent="0.25">
      <c r="F117" s="8"/>
      <c r="G117" s="8"/>
      <c r="H117" s="8"/>
    </row>
    <row r="118" spans="6:8" ht="15.75" customHeight="1" x14ac:dyDescent="0.25">
      <c r="F118" s="8"/>
      <c r="G118" s="8"/>
      <c r="H118" s="8"/>
    </row>
    <row r="119" spans="6:8" ht="15.75" customHeight="1" x14ac:dyDescent="0.25">
      <c r="F119" s="8"/>
      <c r="G119" s="8"/>
      <c r="H119" s="8"/>
    </row>
    <row r="120" spans="6:8" ht="15.75" customHeight="1" x14ac:dyDescent="0.25">
      <c r="F120" s="8"/>
      <c r="G120" s="8"/>
      <c r="H120" s="8"/>
    </row>
    <row r="121" spans="6:8" ht="15.75" customHeight="1" x14ac:dyDescent="0.25">
      <c r="F121" s="8"/>
      <c r="G121" s="8"/>
      <c r="H121" s="8"/>
    </row>
    <row r="122" spans="6:8" ht="15.75" customHeight="1" x14ac:dyDescent="0.25">
      <c r="F122" s="8"/>
      <c r="G122" s="8"/>
      <c r="H122" s="8"/>
    </row>
    <row r="123" spans="6:8" ht="15.75" customHeight="1" x14ac:dyDescent="0.25">
      <c r="F123" s="8"/>
      <c r="G123" s="8"/>
      <c r="H123" s="8"/>
    </row>
    <row r="124" spans="6:8" ht="15.75" customHeight="1" x14ac:dyDescent="0.25">
      <c r="F124" s="8"/>
      <c r="G124" s="8"/>
      <c r="H124" s="8"/>
    </row>
    <row r="125" spans="6:8" ht="15.75" customHeight="1" x14ac:dyDescent="0.25">
      <c r="F125" s="8"/>
      <c r="G125" s="8"/>
      <c r="H125" s="8"/>
    </row>
    <row r="126" spans="6:8" ht="15.75" customHeight="1" x14ac:dyDescent="0.25">
      <c r="F126" s="8"/>
      <c r="G126" s="8"/>
      <c r="H126" s="8"/>
    </row>
    <row r="127" spans="6:8" ht="15.75" customHeight="1" x14ac:dyDescent="0.25">
      <c r="F127" s="8"/>
      <c r="G127" s="8"/>
      <c r="H127" s="8"/>
    </row>
    <row r="128" spans="6:8" ht="15.75" customHeight="1" x14ac:dyDescent="0.25">
      <c r="F128" s="8"/>
      <c r="G128" s="8"/>
      <c r="H128" s="8"/>
    </row>
    <row r="129" spans="6:8" ht="15.75" customHeight="1" x14ac:dyDescent="0.25">
      <c r="F129" s="8"/>
      <c r="G129" s="8"/>
      <c r="H129" s="8"/>
    </row>
    <row r="130" spans="6:8" ht="15.75" customHeight="1" x14ac:dyDescent="0.25">
      <c r="F130" s="8"/>
      <c r="G130" s="8"/>
      <c r="H130" s="8"/>
    </row>
    <row r="131" spans="6:8" ht="15.75" customHeight="1" x14ac:dyDescent="0.25">
      <c r="F131" s="8"/>
      <c r="G131" s="8"/>
      <c r="H131" s="8"/>
    </row>
    <row r="132" spans="6:8" ht="15.75" customHeight="1" x14ac:dyDescent="0.25">
      <c r="F132" s="8"/>
      <c r="G132" s="8"/>
      <c r="H132" s="8"/>
    </row>
    <row r="133" spans="6:8" ht="15.75" customHeight="1" x14ac:dyDescent="0.25">
      <c r="F133" s="8"/>
      <c r="G133" s="8"/>
      <c r="H133" s="8"/>
    </row>
    <row r="134" spans="6:8" ht="15.75" customHeight="1" x14ac:dyDescent="0.25">
      <c r="F134" s="8"/>
      <c r="G134" s="8"/>
      <c r="H134" s="8"/>
    </row>
    <row r="135" spans="6:8" ht="15.75" customHeight="1" x14ac:dyDescent="0.25">
      <c r="F135" s="8"/>
      <c r="G135" s="8"/>
      <c r="H135" s="8"/>
    </row>
    <row r="136" spans="6:8" ht="15.75" customHeight="1" x14ac:dyDescent="0.25">
      <c r="F136" s="8"/>
      <c r="G136" s="8"/>
      <c r="H136" s="8"/>
    </row>
    <row r="137" spans="6:8" ht="15.75" customHeight="1" x14ac:dyDescent="0.25">
      <c r="F137" s="8"/>
      <c r="G137" s="8"/>
      <c r="H137" s="8"/>
    </row>
    <row r="138" spans="6:8" ht="15.75" customHeight="1" x14ac:dyDescent="0.25">
      <c r="F138" s="8"/>
      <c r="G138" s="8"/>
      <c r="H138" s="8"/>
    </row>
    <row r="139" spans="6:8" ht="15.75" customHeight="1" x14ac:dyDescent="0.25">
      <c r="F139" s="8"/>
      <c r="G139" s="8"/>
      <c r="H139" s="8"/>
    </row>
    <row r="140" spans="6:8" ht="15.75" customHeight="1" x14ac:dyDescent="0.25">
      <c r="F140" s="8"/>
      <c r="G140" s="8"/>
      <c r="H140" s="8"/>
    </row>
    <row r="141" spans="6:8" ht="15.75" customHeight="1" x14ac:dyDescent="0.25">
      <c r="F141" s="8"/>
      <c r="G141" s="8"/>
      <c r="H141" s="8"/>
    </row>
    <row r="142" spans="6:8" ht="15.75" customHeight="1" x14ac:dyDescent="0.25">
      <c r="F142" s="8"/>
      <c r="G142" s="8"/>
      <c r="H142" s="8"/>
    </row>
    <row r="143" spans="6:8" ht="15.75" customHeight="1" x14ac:dyDescent="0.25">
      <c r="F143" s="8"/>
      <c r="G143" s="8"/>
      <c r="H143" s="8"/>
    </row>
    <row r="144" spans="6:8" ht="15.75" customHeight="1" x14ac:dyDescent="0.25">
      <c r="F144" s="8"/>
      <c r="G144" s="8"/>
      <c r="H144" s="8"/>
    </row>
    <row r="145" spans="6:8" ht="15.75" customHeight="1" x14ac:dyDescent="0.25">
      <c r="F145" s="8"/>
      <c r="G145" s="8"/>
      <c r="H145" s="8"/>
    </row>
    <row r="146" spans="6:8" ht="15.75" customHeight="1" x14ac:dyDescent="0.25">
      <c r="F146" s="8"/>
      <c r="G146" s="8"/>
      <c r="H146" s="8"/>
    </row>
    <row r="147" spans="6:8" ht="15.75" customHeight="1" x14ac:dyDescent="0.25">
      <c r="F147" s="8"/>
      <c r="G147" s="8"/>
      <c r="H147" s="8"/>
    </row>
    <row r="148" spans="6:8" ht="15.75" customHeight="1" x14ac:dyDescent="0.25">
      <c r="F148" s="8"/>
      <c r="G148" s="8"/>
      <c r="H148" s="8"/>
    </row>
    <row r="149" spans="6:8" ht="15.75" customHeight="1" x14ac:dyDescent="0.25">
      <c r="F149" s="8"/>
      <c r="G149" s="8"/>
      <c r="H149" s="8"/>
    </row>
    <row r="150" spans="6:8" ht="15.75" customHeight="1" x14ac:dyDescent="0.25">
      <c r="F150" s="8"/>
      <c r="G150" s="8"/>
      <c r="H150" s="8"/>
    </row>
    <row r="151" spans="6:8" ht="15.75" customHeight="1" x14ac:dyDescent="0.25">
      <c r="F151" s="8"/>
      <c r="G151" s="8"/>
      <c r="H151" s="8"/>
    </row>
    <row r="152" spans="6:8" ht="15.75" customHeight="1" x14ac:dyDescent="0.25">
      <c r="F152" s="8"/>
      <c r="G152" s="8"/>
      <c r="H152" s="8"/>
    </row>
    <row r="153" spans="6:8" ht="15.75" customHeight="1" x14ac:dyDescent="0.25">
      <c r="F153" s="8"/>
      <c r="G153" s="8"/>
      <c r="H153" s="8"/>
    </row>
    <row r="154" spans="6:8" ht="15.75" customHeight="1" x14ac:dyDescent="0.25">
      <c r="F154" s="8"/>
      <c r="G154" s="8"/>
      <c r="H154" s="8"/>
    </row>
    <row r="155" spans="6:8" ht="15.75" customHeight="1" x14ac:dyDescent="0.25">
      <c r="F155" s="8"/>
      <c r="G155" s="8"/>
      <c r="H155" s="8"/>
    </row>
    <row r="156" spans="6:8" ht="15.75" customHeight="1" x14ac:dyDescent="0.25">
      <c r="F156" s="8"/>
      <c r="G156" s="8"/>
      <c r="H156" s="8"/>
    </row>
    <row r="157" spans="6:8" ht="15.75" customHeight="1" x14ac:dyDescent="0.25">
      <c r="F157" s="8"/>
      <c r="G157" s="8"/>
      <c r="H157" s="8"/>
    </row>
    <row r="158" spans="6:8" ht="15.75" customHeight="1" x14ac:dyDescent="0.25">
      <c r="F158" s="8"/>
      <c r="G158" s="8"/>
      <c r="H158" s="8"/>
    </row>
    <row r="159" spans="6:8" ht="15.75" customHeight="1" x14ac:dyDescent="0.25">
      <c r="F159" s="8"/>
      <c r="G159" s="8"/>
      <c r="H159" s="8"/>
    </row>
    <row r="160" spans="6:8" ht="15.75" customHeight="1" x14ac:dyDescent="0.25">
      <c r="F160" s="8"/>
      <c r="G160" s="8"/>
      <c r="H160" s="8"/>
    </row>
    <row r="161" spans="6:8" ht="15.75" customHeight="1" x14ac:dyDescent="0.25">
      <c r="F161" s="8"/>
      <c r="G161" s="8"/>
      <c r="H161" s="8"/>
    </row>
    <row r="162" spans="6:8" ht="15.75" customHeight="1" x14ac:dyDescent="0.25">
      <c r="F162" s="8"/>
      <c r="G162" s="8"/>
      <c r="H162" s="8"/>
    </row>
    <row r="163" spans="6:8" ht="15.75" customHeight="1" x14ac:dyDescent="0.25">
      <c r="F163" s="8"/>
      <c r="G163" s="8"/>
      <c r="H163" s="8"/>
    </row>
    <row r="164" spans="6:8" ht="15.75" customHeight="1" x14ac:dyDescent="0.25">
      <c r="F164" s="8"/>
      <c r="G164" s="8"/>
      <c r="H164" s="8"/>
    </row>
    <row r="165" spans="6:8" ht="15.75" customHeight="1" x14ac:dyDescent="0.25">
      <c r="F165" s="8"/>
      <c r="G165" s="8"/>
      <c r="H165" s="8"/>
    </row>
    <row r="166" spans="6:8" ht="15.75" customHeight="1" x14ac:dyDescent="0.25">
      <c r="F166" s="8"/>
      <c r="G166" s="8"/>
      <c r="H166" s="8"/>
    </row>
    <row r="167" spans="6:8" ht="15.75" customHeight="1" x14ac:dyDescent="0.25">
      <c r="F167" s="8"/>
      <c r="G167" s="8"/>
      <c r="H167" s="8"/>
    </row>
    <row r="168" spans="6:8" ht="15.75" customHeight="1" x14ac:dyDescent="0.25">
      <c r="F168" s="8"/>
      <c r="G168" s="8"/>
      <c r="H168" s="8"/>
    </row>
    <row r="169" spans="6:8" ht="15.75" customHeight="1" x14ac:dyDescent="0.25">
      <c r="F169" s="8"/>
      <c r="G169" s="8"/>
      <c r="H169" s="8"/>
    </row>
    <row r="170" spans="6:8" ht="15.75" customHeight="1" x14ac:dyDescent="0.25">
      <c r="F170" s="8"/>
      <c r="G170" s="8"/>
      <c r="H170" s="8"/>
    </row>
    <row r="171" spans="6:8" ht="15.75" customHeight="1" x14ac:dyDescent="0.25">
      <c r="F171" s="8"/>
      <c r="G171" s="8"/>
      <c r="H171" s="8"/>
    </row>
    <row r="172" spans="6:8" ht="15.75" customHeight="1" x14ac:dyDescent="0.25">
      <c r="F172" s="8"/>
      <c r="G172" s="8"/>
      <c r="H172" s="8"/>
    </row>
    <row r="173" spans="6:8" ht="15.75" customHeight="1" x14ac:dyDescent="0.25">
      <c r="F173" s="8"/>
      <c r="G173" s="8"/>
      <c r="H173" s="8"/>
    </row>
    <row r="174" spans="6:8" ht="15.75" customHeight="1" x14ac:dyDescent="0.25">
      <c r="F174" s="8"/>
      <c r="G174" s="8"/>
      <c r="H174" s="8"/>
    </row>
    <row r="175" spans="6:8" ht="15.75" customHeight="1" x14ac:dyDescent="0.25">
      <c r="F175" s="8"/>
      <c r="G175" s="8"/>
      <c r="H175" s="8"/>
    </row>
    <row r="176" spans="6:8" ht="15.75" customHeight="1" x14ac:dyDescent="0.25">
      <c r="F176" s="8"/>
      <c r="G176" s="8"/>
      <c r="H176" s="8"/>
    </row>
    <row r="177" spans="6:8" ht="15.75" customHeight="1" x14ac:dyDescent="0.25">
      <c r="F177" s="8"/>
      <c r="G177" s="8"/>
      <c r="H177" s="8"/>
    </row>
    <row r="178" spans="6:8" ht="15.75" customHeight="1" x14ac:dyDescent="0.25">
      <c r="F178" s="8"/>
      <c r="G178" s="8"/>
      <c r="H178" s="8"/>
    </row>
    <row r="179" spans="6:8" ht="15.75" customHeight="1" x14ac:dyDescent="0.25">
      <c r="F179" s="8"/>
      <c r="G179" s="8"/>
      <c r="H179" s="8"/>
    </row>
    <row r="180" spans="6:8" ht="15.75" customHeight="1" x14ac:dyDescent="0.25">
      <c r="F180" s="8"/>
      <c r="G180" s="8"/>
      <c r="H180" s="8"/>
    </row>
    <row r="181" spans="6:8" ht="15.75" customHeight="1" x14ac:dyDescent="0.25">
      <c r="F181" s="8"/>
      <c r="G181" s="8"/>
      <c r="H181" s="8"/>
    </row>
    <row r="182" spans="6:8" ht="15.75" customHeight="1" x14ac:dyDescent="0.25">
      <c r="F182" s="8"/>
      <c r="G182" s="8"/>
      <c r="H182" s="8"/>
    </row>
    <row r="183" spans="6:8" ht="15.75" customHeight="1" x14ac:dyDescent="0.25">
      <c r="F183" s="8"/>
      <c r="G183" s="8"/>
      <c r="H183" s="8"/>
    </row>
    <row r="184" spans="6:8" ht="15.75" customHeight="1" x14ac:dyDescent="0.25">
      <c r="F184" s="8"/>
      <c r="G184" s="8"/>
      <c r="H184" s="8"/>
    </row>
    <row r="185" spans="6:8" ht="15.75" customHeight="1" x14ac:dyDescent="0.25">
      <c r="F185" s="8"/>
      <c r="G185" s="8"/>
      <c r="H185" s="8"/>
    </row>
    <row r="186" spans="6:8" ht="15.75" customHeight="1" x14ac:dyDescent="0.25">
      <c r="F186" s="8"/>
      <c r="G186" s="8"/>
      <c r="H186" s="8"/>
    </row>
    <row r="187" spans="6:8" ht="15.75" customHeight="1" x14ac:dyDescent="0.25">
      <c r="F187" s="8"/>
      <c r="G187" s="8"/>
      <c r="H187" s="8"/>
    </row>
    <row r="188" spans="6:8" ht="15.75" customHeight="1" x14ac:dyDescent="0.25">
      <c r="F188" s="8"/>
      <c r="G188" s="8"/>
      <c r="H188" s="8"/>
    </row>
    <row r="189" spans="6:8" ht="15.75" customHeight="1" x14ac:dyDescent="0.25">
      <c r="F189" s="8"/>
      <c r="G189" s="8"/>
      <c r="H189" s="8"/>
    </row>
    <row r="190" spans="6:8" ht="15.75" customHeight="1" x14ac:dyDescent="0.25">
      <c r="F190" s="8"/>
      <c r="G190" s="8"/>
      <c r="H190" s="8"/>
    </row>
    <row r="191" spans="6:8" ht="15.75" customHeight="1" x14ac:dyDescent="0.25">
      <c r="F191" s="8"/>
      <c r="G191" s="8"/>
      <c r="H191" s="8"/>
    </row>
    <row r="192" spans="6:8" ht="15.75" customHeight="1" x14ac:dyDescent="0.25">
      <c r="F192" s="8"/>
      <c r="G192" s="8"/>
      <c r="H192" s="8"/>
    </row>
    <row r="193" spans="6:8" ht="15.75" customHeight="1" x14ac:dyDescent="0.25">
      <c r="F193" s="8"/>
      <c r="G193" s="8"/>
      <c r="H193" s="8"/>
    </row>
    <row r="194" spans="6:8" ht="15.75" customHeight="1" x14ac:dyDescent="0.25">
      <c r="F194" s="8"/>
      <c r="G194" s="8"/>
      <c r="H194" s="8"/>
    </row>
    <row r="195" spans="6:8" ht="15.75" customHeight="1" x14ac:dyDescent="0.25">
      <c r="F195" s="8"/>
      <c r="G195" s="8"/>
      <c r="H195" s="8"/>
    </row>
    <row r="196" spans="6:8" ht="15.75" customHeight="1" x14ac:dyDescent="0.25">
      <c r="F196" s="8"/>
      <c r="G196" s="8"/>
      <c r="H196" s="8"/>
    </row>
    <row r="197" spans="6:8" ht="15.75" customHeight="1" x14ac:dyDescent="0.25">
      <c r="F197" s="8"/>
      <c r="G197" s="8"/>
      <c r="H197" s="8"/>
    </row>
    <row r="198" spans="6:8" ht="15.75" customHeight="1" x14ac:dyDescent="0.25">
      <c r="F198" s="8"/>
      <c r="G198" s="8"/>
      <c r="H198" s="8"/>
    </row>
    <row r="199" spans="6:8" ht="15.75" customHeight="1" x14ac:dyDescent="0.25">
      <c r="F199" s="8"/>
      <c r="G199" s="8"/>
      <c r="H199" s="8"/>
    </row>
    <row r="200" spans="6:8" ht="15.75" customHeight="1" x14ac:dyDescent="0.25">
      <c r="F200" s="8"/>
      <c r="G200" s="8"/>
      <c r="H200" s="8"/>
    </row>
    <row r="201" spans="6:8" ht="15.75" customHeight="1" x14ac:dyDescent="0.25">
      <c r="F201" s="8"/>
      <c r="G201" s="8"/>
      <c r="H201" s="8"/>
    </row>
    <row r="202" spans="6:8" ht="15.75" customHeight="1" x14ac:dyDescent="0.25">
      <c r="F202" s="8"/>
      <c r="G202" s="8"/>
      <c r="H202" s="8"/>
    </row>
    <row r="203" spans="6:8" ht="15.75" customHeight="1" x14ac:dyDescent="0.25">
      <c r="F203" s="8"/>
      <c r="G203" s="8"/>
      <c r="H203" s="8"/>
    </row>
    <row r="204" spans="6:8" ht="15.75" customHeight="1" x14ac:dyDescent="0.25">
      <c r="F204" s="8"/>
      <c r="G204" s="8"/>
      <c r="H204" s="8"/>
    </row>
    <row r="205" spans="6:8" ht="15.75" customHeight="1" x14ac:dyDescent="0.25">
      <c r="F205" s="8"/>
      <c r="G205" s="8"/>
      <c r="H205" s="8"/>
    </row>
    <row r="206" spans="6:8" ht="15.75" customHeight="1" x14ac:dyDescent="0.25">
      <c r="F206" s="8"/>
      <c r="G206" s="8"/>
      <c r="H206" s="8"/>
    </row>
    <row r="207" spans="6:8" ht="15.75" customHeight="1" x14ac:dyDescent="0.25">
      <c r="F207" s="8"/>
      <c r="G207" s="8"/>
      <c r="H207" s="8"/>
    </row>
    <row r="208" spans="6:8" ht="15.75" customHeight="1" x14ac:dyDescent="0.25">
      <c r="F208" s="8"/>
      <c r="G208" s="8"/>
      <c r="H208" s="8"/>
    </row>
    <row r="209" spans="6:8" ht="15.75" customHeight="1" x14ac:dyDescent="0.25">
      <c r="F209" s="8"/>
      <c r="G209" s="8"/>
      <c r="H209" s="8"/>
    </row>
    <row r="210" spans="6:8" ht="15.75" customHeight="1" x14ac:dyDescent="0.25">
      <c r="F210" s="8"/>
      <c r="G210" s="8"/>
      <c r="H210" s="8"/>
    </row>
    <row r="211" spans="6:8" ht="15.75" customHeight="1" x14ac:dyDescent="0.25">
      <c r="F211" s="8"/>
      <c r="G211" s="8"/>
      <c r="H211" s="8"/>
    </row>
    <row r="212" spans="6:8" ht="15.75" customHeight="1" x14ac:dyDescent="0.25">
      <c r="F212" s="8"/>
      <c r="G212" s="8"/>
      <c r="H212" s="8"/>
    </row>
    <row r="213" spans="6:8" ht="15.75" customHeight="1" x14ac:dyDescent="0.25">
      <c r="F213" s="8"/>
      <c r="G213" s="8"/>
      <c r="H213" s="8"/>
    </row>
    <row r="214" spans="6:8" ht="15.75" customHeight="1" x14ac:dyDescent="0.25">
      <c r="F214" s="8"/>
      <c r="G214" s="8"/>
      <c r="H214" s="8"/>
    </row>
    <row r="215" spans="6:8" ht="15.75" customHeight="1" x14ac:dyDescent="0.25">
      <c r="F215" s="8"/>
      <c r="G215" s="8"/>
      <c r="H215" s="8"/>
    </row>
    <row r="216" spans="6:8" ht="15.75" customHeight="1" x14ac:dyDescent="0.25">
      <c r="F216" s="8"/>
      <c r="G216" s="8"/>
      <c r="H216" s="8"/>
    </row>
    <row r="217" spans="6:8" ht="15.75" customHeight="1" x14ac:dyDescent="0.25">
      <c r="F217" s="8"/>
      <c r="G217" s="8"/>
      <c r="H217" s="8"/>
    </row>
    <row r="218" spans="6:8" ht="15.75" customHeight="1" x14ac:dyDescent="0.25">
      <c r="F218" s="8"/>
      <c r="G218" s="8"/>
      <c r="H218" s="8"/>
    </row>
    <row r="219" spans="6:8" ht="15.75" customHeight="1" x14ac:dyDescent="0.25">
      <c r="F219" s="8"/>
      <c r="G219" s="8"/>
      <c r="H219" s="8"/>
    </row>
    <row r="220" spans="6:8" ht="15.75" customHeight="1" x14ac:dyDescent="0.25">
      <c r="F220" s="8"/>
      <c r="G220" s="8"/>
      <c r="H220" s="8"/>
    </row>
    <row r="221" spans="6:8" ht="15.75" customHeight="1" x14ac:dyDescent="0.25">
      <c r="F221" s="8"/>
      <c r="G221" s="8"/>
      <c r="H221" s="8"/>
    </row>
    <row r="222" spans="6:8" ht="15.75" customHeight="1" x14ac:dyDescent="0.25">
      <c r="F222" s="8"/>
      <c r="G222" s="8"/>
      <c r="H222" s="8"/>
    </row>
    <row r="223" spans="6:8" ht="15.75" customHeight="1" x14ac:dyDescent="0.25">
      <c r="F223" s="8"/>
      <c r="G223" s="8"/>
      <c r="H223" s="8"/>
    </row>
    <row r="224" spans="6:8" ht="15.75" customHeight="1" x14ac:dyDescent="0.25">
      <c r="F224" s="8"/>
      <c r="G224" s="8"/>
      <c r="H224" s="8"/>
    </row>
    <row r="225" spans="6:8" ht="15.75" customHeight="1" x14ac:dyDescent="0.25">
      <c r="F225" s="8"/>
      <c r="G225" s="8"/>
      <c r="H225" s="8"/>
    </row>
    <row r="226" spans="6:8" ht="15.75" customHeight="1" x14ac:dyDescent="0.25">
      <c r="F226" s="8"/>
      <c r="G226" s="8"/>
      <c r="H226" s="8"/>
    </row>
    <row r="227" spans="6:8" ht="15.75" customHeight="1" x14ac:dyDescent="0.25">
      <c r="F227" s="8"/>
      <c r="G227" s="8"/>
      <c r="H227" s="8"/>
    </row>
    <row r="228" spans="6:8" ht="15.75" customHeight="1" x14ac:dyDescent="0.25">
      <c r="F228" s="8"/>
      <c r="G228" s="8"/>
      <c r="H228" s="8"/>
    </row>
    <row r="229" spans="6:8" ht="15.75" customHeight="1" x14ac:dyDescent="0.25">
      <c r="F229" s="8"/>
      <c r="G229" s="8"/>
      <c r="H229" s="8"/>
    </row>
    <row r="230" spans="6:8" ht="15.75" customHeight="1" x14ac:dyDescent="0.25">
      <c r="F230" s="8"/>
      <c r="G230" s="8"/>
      <c r="H230" s="8"/>
    </row>
    <row r="231" spans="6:8" ht="15.75" customHeight="1" x14ac:dyDescent="0.25">
      <c r="F231" s="8"/>
      <c r="G231" s="8"/>
      <c r="H231" s="8"/>
    </row>
    <row r="232" spans="6:8" ht="15.75" customHeight="1" x14ac:dyDescent="0.25">
      <c r="F232" s="8"/>
      <c r="G232" s="8"/>
      <c r="H232" s="8"/>
    </row>
    <row r="233" spans="6:8" ht="15.75" customHeight="1" x14ac:dyDescent="0.25">
      <c r="F233" s="8"/>
      <c r="G233" s="8"/>
      <c r="H233" s="8"/>
    </row>
    <row r="234" spans="6:8" ht="15.75" customHeight="1" x14ac:dyDescent="0.25">
      <c r="F234" s="8"/>
      <c r="G234" s="8"/>
      <c r="H234" s="8"/>
    </row>
    <row r="235" spans="6:8" ht="15.75" customHeight="1" x14ac:dyDescent="0.25">
      <c r="F235" s="8"/>
      <c r="G235" s="8"/>
      <c r="H235" s="8"/>
    </row>
    <row r="236" spans="6:8" ht="15.75" customHeight="1" x14ac:dyDescent="0.25">
      <c r="F236" s="8"/>
      <c r="G236" s="8"/>
      <c r="H236" s="8"/>
    </row>
    <row r="237" spans="6:8" ht="15.75" customHeight="1" x14ac:dyDescent="0.25">
      <c r="F237" s="8"/>
      <c r="G237" s="8"/>
      <c r="H237" s="8"/>
    </row>
    <row r="238" spans="6:8" ht="15.75" customHeight="1" x14ac:dyDescent="0.25">
      <c r="F238" s="8"/>
      <c r="G238" s="8"/>
      <c r="H238" s="8"/>
    </row>
    <row r="239" spans="6:8" ht="15.75" customHeight="1" x14ac:dyDescent="0.25">
      <c r="F239" s="8"/>
      <c r="G239" s="8"/>
      <c r="H239" s="8"/>
    </row>
    <row r="240" spans="6:8" ht="15.75" customHeight="1" x14ac:dyDescent="0.25">
      <c r="F240" s="8"/>
      <c r="G240" s="8"/>
      <c r="H240" s="8"/>
    </row>
    <row r="241" spans="6:8" ht="15.75" customHeight="1" x14ac:dyDescent="0.25">
      <c r="F241" s="8"/>
      <c r="G241" s="8"/>
      <c r="H241" s="8"/>
    </row>
    <row r="242" spans="6:8" ht="15.75" customHeight="1" x14ac:dyDescent="0.25">
      <c r="F242" s="8"/>
      <c r="G242" s="8"/>
      <c r="H242" s="8"/>
    </row>
    <row r="243" spans="6:8" ht="15.75" customHeight="1" x14ac:dyDescent="0.25">
      <c r="F243" s="8"/>
      <c r="G243" s="8"/>
      <c r="H243" s="8"/>
    </row>
    <row r="244" spans="6:8" ht="15.75" customHeight="1" x14ac:dyDescent="0.25">
      <c r="F244" s="8"/>
      <c r="G244" s="8"/>
      <c r="H244" s="8"/>
    </row>
    <row r="245" spans="6:8" ht="15.75" customHeight="1" x14ac:dyDescent="0.25">
      <c r="F245" s="8"/>
      <c r="G245" s="8"/>
      <c r="H245" s="8"/>
    </row>
    <row r="246" spans="6:8" ht="15.75" customHeight="1" x14ac:dyDescent="0.25">
      <c r="F246" s="8"/>
      <c r="G246" s="8"/>
      <c r="H246" s="8"/>
    </row>
    <row r="247" spans="6:8" ht="15.75" customHeight="1" x14ac:dyDescent="0.25">
      <c r="F247" s="8"/>
      <c r="G247" s="8"/>
      <c r="H247" s="8"/>
    </row>
    <row r="248" spans="6:8" ht="15.75" customHeight="1" x14ac:dyDescent="0.25">
      <c r="F248" s="8"/>
      <c r="G248" s="8"/>
      <c r="H248" s="8"/>
    </row>
    <row r="249" spans="6:8" ht="15.75" customHeight="1" x14ac:dyDescent="0.25">
      <c r="F249" s="8"/>
      <c r="G249" s="8"/>
      <c r="H249" s="8"/>
    </row>
    <row r="250" spans="6:8" ht="15.75" customHeight="1" x14ac:dyDescent="0.25">
      <c r="F250" s="8"/>
      <c r="G250" s="8"/>
      <c r="H250" s="8"/>
    </row>
    <row r="251" spans="6:8" ht="15.75" customHeight="1" x14ac:dyDescent="0.25">
      <c r="F251" s="8"/>
      <c r="G251" s="8"/>
      <c r="H251" s="8"/>
    </row>
    <row r="252" spans="6:8" ht="15.75" customHeight="1" x14ac:dyDescent="0.25">
      <c r="F252" s="8"/>
      <c r="G252" s="8"/>
      <c r="H252" s="8"/>
    </row>
    <row r="253" spans="6:8" ht="15.75" customHeight="1" x14ac:dyDescent="0.25">
      <c r="F253" s="8"/>
      <c r="G253" s="8"/>
      <c r="H253" s="8"/>
    </row>
    <row r="254" spans="6:8" ht="15.75" customHeight="1" x14ac:dyDescent="0.25">
      <c r="F254" s="8"/>
      <c r="G254" s="8"/>
      <c r="H254" s="8"/>
    </row>
    <row r="255" spans="6:8" ht="15.75" customHeight="1" x14ac:dyDescent="0.25">
      <c r="F255" s="8"/>
      <c r="G255" s="8"/>
      <c r="H255" s="8"/>
    </row>
    <row r="256" spans="6:8" ht="15.75" customHeight="1" x14ac:dyDescent="0.25">
      <c r="F256" s="8"/>
      <c r="G256" s="8"/>
      <c r="H256" s="8"/>
    </row>
    <row r="257" spans="6:8" ht="15.75" customHeight="1" x14ac:dyDescent="0.25">
      <c r="F257" s="8"/>
      <c r="G257" s="8"/>
      <c r="H257" s="8"/>
    </row>
    <row r="258" spans="6:8" ht="15.75" customHeight="1" x14ac:dyDescent="0.25">
      <c r="F258" s="8"/>
      <c r="G258" s="8"/>
      <c r="H258" s="8"/>
    </row>
    <row r="259" spans="6:8" ht="15.75" customHeight="1" x14ac:dyDescent="0.25">
      <c r="F259" s="8"/>
      <c r="G259" s="8"/>
      <c r="H259" s="8"/>
    </row>
    <row r="260" spans="6:8" ht="15.75" customHeight="1" x14ac:dyDescent="0.25">
      <c r="F260" s="8"/>
      <c r="G260" s="8"/>
      <c r="H260" s="8"/>
    </row>
    <row r="261" spans="6:8" ht="15.75" customHeight="1" x14ac:dyDescent="0.25">
      <c r="F261" s="8"/>
      <c r="G261" s="8"/>
      <c r="H261" s="8"/>
    </row>
    <row r="262" spans="6:8" ht="15.75" customHeight="1" x14ac:dyDescent="0.25">
      <c r="F262" s="8"/>
      <c r="G262" s="8"/>
      <c r="H262" s="8"/>
    </row>
    <row r="263" spans="6:8" ht="15.75" customHeight="1" x14ac:dyDescent="0.25">
      <c r="F263" s="8"/>
      <c r="G263" s="8"/>
      <c r="H263" s="8"/>
    </row>
    <row r="264" spans="6:8" ht="15.75" customHeight="1" x14ac:dyDescent="0.25">
      <c r="F264" s="8"/>
      <c r="G264" s="8"/>
      <c r="H264" s="8"/>
    </row>
    <row r="265" spans="6:8" ht="15.75" customHeight="1" x14ac:dyDescent="0.25">
      <c r="F265" s="8"/>
      <c r="G265" s="8"/>
      <c r="H265" s="8"/>
    </row>
    <row r="266" spans="6:8" ht="15.75" customHeight="1" x14ac:dyDescent="0.25">
      <c r="F266" s="8"/>
      <c r="G266" s="8"/>
      <c r="H266" s="8"/>
    </row>
    <row r="267" spans="6:8" ht="15.75" customHeight="1" x14ac:dyDescent="0.25">
      <c r="F267" s="8"/>
      <c r="G267" s="8"/>
      <c r="H267" s="8"/>
    </row>
    <row r="268" spans="6:8" ht="15.75" customHeight="1" x14ac:dyDescent="0.25">
      <c r="F268" s="8"/>
      <c r="G268" s="8"/>
      <c r="H268" s="8"/>
    </row>
    <row r="269" spans="6:8" ht="15.75" customHeight="1" x14ac:dyDescent="0.25">
      <c r="F269" s="8"/>
      <c r="G269" s="8"/>
      <c r="H269" s="8"/>
    </row>
    <row r="270" spans="6:8" ht="15.75" customHeight="1" x14ac:dyDescent="0.25">
      <c r="F270" s="8"/>
      <c r="G270" s="8"/>
      <c r="H270" s="8"/>
    </row>
    <row r="271" spans="6:8" ht="15.75" customHeight="1" x14ac:dyDescent="0.25">
      <c r="F271" s="8"/>
      <c r="G271" s="8"/>
      <c r="H271" s="8"/>
    </row>
    <row r="272" spans="6:8" ht="15.75" customHeight="1" x14ac:dyDescent="0.25">
      <c r="F272" s="8"/>
      <c r="G272" s="8"/>
      <c r="H272" s="8"/>
    </row>
    <row r="273" spans="6:8" ht="15.75" customHeight="1" x14ac:dyDescent="0.25">
      <c r="F273" s="8"/>
      <c r="G273" s="8"/>
      <c r="H273" s="8"/>
    </row>
    <row r="274" spans="6:8" ht="15.75" customHeight="1" x14ac:dyDescent="0.25">
      <c r="F274" s="8"/>
      <c r="G274" s="8"/>
      <c r="H274" s="8"/>
    </row>
    <row r="275" spans="6:8" ht="15.75" customHeight="1" x14ac:dyDescent="0.25">
      <c r="F275" s="8"/>
      <c r="G275" s="8"/>
      <c r="H275" s="8"/>
    </row>
    <row r="276" spans="6:8" ht="15.75" customHeight="1" x14ac:dyDescent="0.25">
      <c r="F276" s="8"/>
      <c r="G276" s="8"/>
      <c r="H276" s="8"/>
    </row>
    <row r="277" spans="6:8" ht="15.75" customHeight="1" x14ac:dyDescent="0.25">
      <c r="F277" s="8"/>
      <c r="G277" s="8"/>
      <c r="H277" s="8"/>
    </row>
    <row r="278" spans="6:8" ht="15.75" customHeight="1" x14ac:dyDescent="0.25">
      <c r="F278" s="8"/>
      <c r="G278" s="8"/>
      <c r="H278" s="8"/>
    </row>
    <row r="279" spans="6:8" ht="15.75" customHeight="1" x14ac:dyDescent="0.25">
      <c r="F279" s="8"/>
      <c r="G279" s="8"/>
      <c r="H279" s="8"/>
    </row>
    <row r="280" spans="6:8" ht="15.75" customHeight="1" x14ac:dyDescent="0.25">
      <c r="F280" s="8"/>
      <c r="G280" s="8"/>
      <c r="H280" s="8"/>
    </row>
    <row r="281" spans="6:8" ht="15.75" customHeight="1" x14ac:dyDescent="0.25">
      <c r="F281" s="8"/>
      <c r="G281" s="8"/>
      <c r="H281" s="8"/>
    </row>
    <row r="282" spans="6:8" ht="15.75" customHeight="1" x14ac:dyDescent="0.25">
      <c r="F282" s="8"/>
      <c r="G282" s="8"/>
      <c r="H282" s="8"/>
    </row>
    <row r="283" spans="6:8" ht="15.75" customHeight="1" x14ac:dyDescent="0.25">
      <c r="F283" s="8"/>
      <c r="G283" s="8"/>
      <c r="H283" s="8"/>
    </row>
    <row r="284" spans="6:8" ht="15.75" customHeight="1" x14ac:dyDescent="0.25">
      <c r="F284" s="8"/>
      <c r="G284" s="8"/>
      <c r="H284" s="8"/>
    </row>
    <row r="285" spans="6:8" ht="15.75" customHeight="1" x14ac:dyDescent="0.25">
      <c r="F285" s="8"/>
      <c r="G285" s="8"/>
      <c r="H285" s="8"/>
    </row>
    <row r="286" spans="6:8" ht="15.75" customHeight="1" x14ac:dyDescent="0.25">
      <c r="F286" s="8"/>
      <c r="G286" s="8"/>
      <c r="H286" s="8"/>
    </row>
    <row r="287" spans="6:8" ht="15.75" customHeight="1" x14ac:dyDescent="0.25">
      <c r="F287" s="8"/>
      <c r="G287" s="8"/>
      <c r="H287" s="8"/>
    </row>
    <row r="288" spans="6:8" ht="15.75" customHeight="1" x14ac:dyDescent="0.25">
      <c r="F288" s="8"/>
      <c r="G288" s="8"/>
      <c r="H288" s="8"/>
    </row>
    <row r="289" spans="6:8" ht="15.75" customHeight="1" x14ac:dyDescent="0.25">
      <c r="F289" s="8"/>
      <c r="G289" s="8"/>
      <c r="H289" s="8"/>
    </row>
    <row r="290" spans="6:8" ht="15.75" customHeight="1" x14ac:dyDescent="0.25">
      <c r="F290" s="8"/>
      <c r="G290" s="8"/>
      <c r="H290" s="8"/>
    </row>
    <row r="291" spans="6:8" ht="15.75" customHeight="1" x14ac:dyDescent="0.25">
      <c r="F291" s="8"/>
      <c r="G291" s="8"/>
      <c r="H291" s="8"/>
    </row>
    <row r="292" spans="6:8" ht="15.75" customHeight="1" x14ac:dyDescent="0.25">
      <c r="F292" s="8"/>
      <c r="G292" s="8"/>
      <c r="H292" s="8"/>
    </row>
    <row r="293" spans="6:8" ht="15.75" customHeight="1" x14ac:dyDescent="0.25">
      <c r="F293" s="8"/>
      <c r="G293" s="8"/>
      <c r="H293" s="8"/>
    </row>
    <row r="294" spans="6:8" ht="15.75" customHeight="1" x14ac:dyDescent="0.25">
      <c r="F294" s="8"/>
      <c r="G294" s="8"/>
      <c r="H294" s="8"/>
    </row>
    <row r="295" spans="6:8" ht="15.75" customHeight="1" x14ac:dyDescent="0.25">
      <c r="F295" s="8"/>
      <c r="G295" s="8"/>
      <c r="H295" s="8"/>
    </row>
    <row r="296" spans="6:8" ht="15.75" customHeight="1" x14ac:dyDescent="0.25">
      <c r="F296" s="8"/>
      <c r="G296" s="8"/>
      <c r="H296" s="8"/>
    </row>
    <row r="297" spans="6:8" ht="15.75" customHeight="1" x14ac:dyDescent="0.25">
      <c r="F297" s="8"/>
      <c r="G297" s="8"/>
      <c r="H297" s="8"/>
    </row>
    <row r="298" spans="6:8" ht="15.75" customHeight="1" x14ac:dyDescent="0.25">
      <c r="F298" s="8"/>
      <c r="G298" s="8"/>
      <c r="H298" s="8"/>
    </row>
    <row r="299" spans="6:8" ht="15.75" customHeight="1" x14ac:dyDescent="0.25">
      <c r="F299" s="8"/>
      <c r="G299" s="8"/>
      <c r="H299" s="8"/>
    </row>
    <row r="300" spans="6:8" ht="15.75" customHeight="1" x14ac:dyDescent="0.25">
      <c r="F300" s="8"/>
      <c r="G300" s="8"/>
      <c r="H300" s="8"/>
    </row>
    <row r="301" spans="6:8" ht="15.75" customHeight="1" x14ac:dyDescent="0.25">
      <c r="F301" s="8"/>
      <c r="G301" s="8"/>
      <c r="H301" s="8"/>
    </row>
    <row r="302" spans="6:8" ht="15.75" customHeight="1" x14ac:dyDescent="0.25">
      <c r="F302" s="8"/>
      <c r="G302" s="8"/>
      <c r="H302" s="8"/>
    </row>
    <row r="303" spans="6:8" ht="15.75" customHeight="1" x14ac:dyDescent="0.25">
      <c r="F303" s="8"/>
      <c r="G303" s="8"/>
      <c r="H303" s="8"/>
    </row>
    <row r="304" spans="6:8" ht="15.75" customHeight="1" x14ac:dyDescent="0.25">
      <c r="F304" s="8"/>
      <c r="G304" s="8"/>
      <c r="H304" s="8"/>
    </row>
    <row r="305" spans="6:8" ht="15.75" customHeight="1" x14ac:dyDescent="0.25">
      <c r="F305" s="8"/>
      <c r="G305" s="8"/>
      <c r="H305" s="8"/>
    </row>
    <row r="306" spans="6:8" ht="15.75" customHeight="1" x14ac:dyDescent="0.25">
      <c r="F306" s="8"/>
      <c r="G306" s="8"/>
      <c r="H306" s="8"/>
    </row>
    <row r="307" spans="6:8" ht="15.75" customHeight="1" x14ac:dyDescent="0.25">
      <c r="F307" s="8"/>
      <c r="G307" s="8"/>
      <c r="H307" s="8"/>
    </row>
    <row r="308" spans="6:8" ht="15.75" customHeight="1" x14ac:dyDescent="0.25">
      <c r="F308" s="8"/>
      <c r="G308" s="8"/>
      <c r="H308" s="8"/>
    </row>
    <row r="309" spans="6:8" ht="15.75" customHeight="1" x14ac:dyDescent="0.25">
      <c r="F309" s="8"/>
      <c r="G309" s="8"/>
      <c r="H309" s="8"/>
    </row>
    <row r="310" spans="6:8" ht="15.75" customHeight="1" x14ac:dyDescent="0.25">
      <c r="F310" s="8"/>
      <c r="G310" s="8"/>
      <c r="H310" s="8"/>
    </row>
    <row r="311" spans="6:8" ht="15.75" customHeight="1" x14ac:dyDescent="0.25">
      <c r="F311" s="8"/>
      <c r="G311" s="8"/>
      <c r="H311" s="8"/>
    </row>
    <row r="312" spans="6:8" ht="15.75" customHeight="1" x14ac:dyDescent="0.25">
      <c r="F312" s="8"/>
      <c r="G312" s="8"/>
      <c r="H312" s="8"/>
    </row>
    <row r="313" spans="6:8" ht="15.75" customHeight="1" x14ac:dyDescent="0.25">
      <c r="F313" s="8"/>
      <c r="G313" s="8"/>
      <c r="H313" s="8"/>
    </row>
    <row r="314" spans="6:8" ht="15.75" customHeight="1" x14ac:dyDescent="0.25">
      <c r="F314" s="8"/>
      <c r="G314" s="8"/>
      <c r="H314" s="8"/>
    </row>
    <row r="315" spans="6:8" ht="15.75" customHeight="1" x14ac:dyDescent="0.25">
      <c r="F315" s="8"/>
      <c r="G315" s="8"/>
      <c r="H315" s="8"/>
    </row>
    <row r="316" spans="6:8" ht="15.75" customHeight="1" x14ac:dyDescent="0.25">
      <c r="F316" s="8"/>
      <c r="G316" s="8"/>
      <c r="H316" s="8"/>
    </row>
    <row r="317" spans="6:8" ht="15.75" customHeight="1" x14ac:dyDescent="0.25">
      <c r="F317" s="8"/>
      <c r="G317" s="8"/>
      <c r="H317" s="8"/>
    </row>
    <row r="318" spans="6:8" ht="15.75" customHeight="1" x14ac:dyDescent="0.25">
      <c r="F318" s="8"/>
      <c r="G318" s="8"/>
      <c r="H318" s="8"/>
    </row>
    <row r="319" spans="6:8" ht="15.75" customHeight="1" x14ac:dyDescent="0.25">
      <c r="F319" s="8"/>
      <c r="G319" s="8"/>
      <c r="H319" s="8"/>
    </row>
    <row r="320" spans="6:8" ht="15.75" customHeight="1" x14ac:dyDescent="0.25">
      <c r="F320" s="8"/>
      <c r="G320" s="8"/>
      <c r="H320" s="8"/>
    </row>
    <row r="321" spans="6:8" ht="15.75" customHeight="1" x14ac:dyDescent="0.25">
      <c r="F321" s="8"/>
      <c r="G321" s="8"/>
      <c r="H321" s="8"/>
    </row>
    <row r="322" spans="6:8" ht="15.75" customHeight="1" x14ac:dyDescent="0.25">
      <c r="F322" s="8"/>
      <c r="G322" s="8"/>
      <c r="H322" s="8"/>
    </row>
    <row r="323" spans="6:8" ht="15.75" customHeight="1" x14ac:dyDescent="0.25">
      <c r="F323" s="8"/>
      <c r="G323" s="8"/>
      <c r="H323" s="8"/>
    </row>
    <row r="324" spans="6:8" ht="15.75" customHeight="1" x14ac:dyDescent="0.25">
      <c r="F324" s="8"/>
      <c r="G324" s="8"/>
      <c r="H324" s="8"/>
    </row>
    <row r="325" spans="6:8" ht="15.75" customHeight="1" x14ac:dyDescent="0.25">
      <c r="F325" s="8"/>
      <c r="G325" s="8"/>
      <c r="H325" s="8"/>
    </row>
    <row r="326" spans="6:8" ht="15.75" customHeight="1" x14ac:dyDescent="0.25">
      <c r="F326" s="8"/>
      <c r="G326" s="8"/>
      <c r="H326" s="8"/>
    </row>
    <row r="327" spans="6:8" ht="15.75" customHeight="1" x14ac:dyDescent="0.25">
      <c r="F327" s="8"/>
      <c r="G327" s="8"/>
      <c r="H327" s="8"/>
    </row>
    <row r="328" spans="6:8" ht="15.75" customHeight="1" x14ac:dyDescent="0.25">
      <c r="F328" s="8"/>
      <c r="G328" s="8"/>
      <c r="H328" s="8"/>
    </row>
    <row r="329" spans="6:8" ht="15.75" customHeight="1" x14ac:dyDescent="0.25">
      <c r="F329" s="8"/>
      <c r="G329" s="8"/>
      <c r="H329" s="8"/>
    </row>
    <row r="330" spans="6:8" ht="15.75" customHeight="1" x14ac:dyDescent="0.25">
      <c r="F330" s="8"/>
      <c r="G330" s="8"/>
      <c r="H330" s="8"/>
    </row>
    <row r="331" spans="6:8" ht="15.75" customHeight="1" x14ac:dyDescent="0.25">
      <c r="F331" s="8"/>
      <c r="G331" s="8"/>
      <c r="H331" s="8"/>
    </row>
    <row r="332" spans="6:8" ht="15.75" customHeight="1" x14ac:dyDescent="0.25">
      <c r="F332" s="8"/>
      <c r="G332" s="8"/>
      <c r="H332" s="8"/>
    </row>
    <row r="333" spans="6:8" ht="15.75" customHeight="1" x14ac:dyDescent="0.25">
      <c r="F333" s="8"/>
      <c r="G333" s="8"/>
      <c r="H333" s="8"/>
    </row>
    <row r="334" spans="6:8" ht="15.75" customHeight="1" x14ac:dyDescent="0.25">
      <c r="F334" s="8"/>
      <c r="G334" s="8"/>
      <c r="H334" s="8"/>
    </row>
    <row r="335" spans="6:8" ht="15.75" customHeight="1" x14ac:dyDescent="0.25">
      <c r="F335" s="8"/>
      <c r="G335" s="8"/>
      <c r="H335" s="8"/>
    </row>
    <row r="336" spans="6:8" ht="15.75" customHeight="1" x14ac:dyDescent="0.25">
      <c r="F336" s="8"/>
      <c r="G336" s="8"/>
      <c r="H336" s="8"/>
    </row>
    <row r="337" spans="6:8" ht="15.75" customHeight="1" x14ac:dyDescent="0.25">
      <c r="F337" s="8"/>
      <c r="G337" s="8"/>
      <c r="H337" s="8"/>
    </row>
    <row r="338" spans="6:8" ht="15.75" customHeight="1" x14ac:dyDescent="0.25">
      <c r="F338" s="8"/>
      <c r="G338" s="8"/>
      <c r="H338" s="8"/>
    </row>
    <row r="339" spans="6:8" ht="15.75" customHeight="1" x14ac:dyDescent="0.25">
      <c r="F339" s="8"/>
      <c r="G339" s="8"/>
      <c r="H339" s="8"/>
    </row>
    <row r="340" spans="6:8" ht="15.75" customHeight="1" x14ac:dyDescent="0.25">
      <c r="F340" s="8"/>
      <c r="G340" s="8"/>
      <c r="H340" s="8"/>
    </row>
    <row r="341" spans="6:8" ht="15.75" customHeight="1" x14ac:dyDescent="0.25">
      <c r="F341" s="8"/>
      <c r="G341" s="8"/>
      <c r="H341" s="8"/>
    </row>
    <row r="342" spans="6:8" ht="15.75" customHeight="1" x14ac:dyDescent="0.25">
      <c r="F342" s="8"/>
      <c r="G342" s="8"/>
      <c r="H342" s="8"/>
    </row>
    <row r="343" spans="6:8" ht="15.75" customHeight="1" x14ac:dyDescent="0.25">
      <c r="F343" s="8"/>
      <c r="G343" s="8"/>
      <c r="H343" s="8"/>
    </row>
    <row r="344" spans="6:8" ht="15.75" customHeight="1" x14ac:dyDescent="0.25">
      <c r="F344" s="8"/>
      <c r="G344" s="8"/>
      <c r="H344" s="8"/>
    </row>
    <row r="345" spans="6:8" ht="15.75" customHeight="1" x14ac:dyDescent="0.25">
      <c r="F345" s="8"/>
      <c r="G345" s="8"/>
      <c r="H345" s="8"/>
    </row>
    <row r="346" spans="6:8" ht="15.75" customHeight="1" x14ac:dyDescent="0.25">
      <c r="F346" s="8"/>
      <c r="G346" s="8"/>
      <c r="H346" s="8"/>
    </row>
    <row r="347" spans="6:8" ht="15.75" customHeight="1" x14ac:dyDescent="0.25">
      <c r="F347" s="8"/>
      <c r="G347" s="8"/>
      <c r="H347" s="8"/>
    </row>
    <row r="348" spans="6:8" ht="15.75" customHeight="1" x14ac:dyDescent="0.25">
      <c r="F348" s="8"/>
      <c r="G348" s="8"/>
      <c r="H348" s="8"/>
    </row>
    <row r="349" spans="6:8" ht="15.75" customHeight="1" x14ac:dyDescent="0.25">
      <c r="F349" s="8"/>
      <c r="G349" s="8"/>
      <c r="H349" s="8"/>
    </row>
    <row r="350" spans="6:8" ht="15.75" customHeight="1" x14ac:dyDescent="0.25">
      <c r="F350" s="8"/>
      <c r="G350" s="8"/>
      <c r="H350" s="8"/>
    </row>
    <row r="351" spans="6:8" ht="15.75" customHeight="1" x14ac:dyDescent="0.25">
      <c r="F351" s="8"/>
      <c r="G351" s="8"/>
      <c r="H351" s="8"/>
    </row>
    <row r="352" spans="6:8" ht="15.75" customHeight="1" x14ac:dyDescent="0.25">
      <c r="F352" s="8"/>
      <c r="G352" s="8"/>
      <c r="H352" s="8"/>
    </row>
    <row r="353" spans="6:8" ht="15.75" customHeight="1" x14ac:dyDescent="0.25">
      <c r="F353" s="8"/>
      <c r="G353" s="8"/>
      <c r="H353" s="8"/>
    </row>
    <row r="354" spans="6:8" ht="15.75" customHeight="1" x14ac:dyDescent="0.25">
      <c r="F354" s="8"/>
      <c r="G354" s="8"/>
      <c r="H354" s="8"/>
    </row>
    <row r="355" spans="6:8" ht="15.75" customHeight="1" x14ac:dyDescent="0.25">
      <c r="F355" s="8"/>
      <c r="G355" s="8"/>
      <c r="H355" s="8"/>
    </row>
    <row r="356" spans="6:8" ht="15.75" customHeight="1" x14ac:dyDescent="0.25">
      <c r="F356" s="8"/>
      <c r="G356" s="8"/>
      <c r="H356" s="8"/>
    </row>
    <row r="357" spans="6:8" ht="15.75" customHeight="1" x14ac:dyDescent="0.25">
      <c r="F357" s="8"/>
      <c r="G357" s="8"/>
      <c r="H357" s="8"/>
    </row>
    <row r="358" spans="6:8" ht="15.75" customHeight="1" x14ac:dyDescent="0.25">
      <c r="F358" s="8"/>
      <c r="G358" s="8"/>
      <c r="H358" s="8"/>
    </row>
    <row r="359" spans="6:8" ht="15.75" customHeight="1" x14ac:dyDescent="0.25">
      <c r="F359" s="8"/>
      <c r="G359" s="8"/>
      <c r="H359" s="8"/>
    </row>
    <row r="360" spans="6:8" ht="15.75" customHeight="1" x14ac:dyDescent="0.25">
      <c r="F360" s="8"/>
      <c r="G360" s="8"/>
      <c r="H360" s="8"/>
    </row>
    <row r="361" spans="6:8" ht="15.75" customHeight="1" x14ac:dyDescent="0.25">
      <c r="F361" s="8"/>
      <c r="G361" s="8"/>
      <c r="H361" s="8"/>
    </row>
    <row r="362" spans="6:8" ht="15.75" customHeight="1" x14ac:dyDescent="0.25">
      <c r="F362" s="8"/>
      <c r="G362" s="8"/>
      <c r="H362" s="8"/>
    </row>
    <row r="363" spans="6:8" ht="15.75" customHeight="1" x14ac:dyDescent="0.25">
      <c r="F363" s="8"/>
      <c r="G363" s="8"/>
      <c r="H363" s="8"/>
    </row>
    <row r="364" spans="6:8" ht="15.75" customHeight="1" x14ac:dyDescent="0.25">
      <c r="F364" s="8"/>
      <c r="G364" s="8"/>
      <c r="H364" s="8"/>
    </row>
    <row r="365" spans="6:8" ht="15.75" customHeight="1" x14ac:dyDescent="0.25">
      <c r="F365" s="8"/>
      <c r="G365" s="8"/>
      <c r="H365" s="8"/>
    </row>
    <row r="366" spans="6:8" ht="15.75" customHeight="1" x14ac:dyDescent="0.25">
      <c r="F366" s="8"/>
      <c r="G366" s="8"/>
      <c r="H366" s="8"/>
    </row>
    <row r="367" spans="6:8" ht="15.75" customHeight="1" x14ac:dyDescent="0.25">
      <c r="F367" s="8"/>
      <c r="G367" s="8"/>
      <c r="H367" s="8"/>
    </row>
    <row r="368" spans="6:8" ht="15.75" customHeight="1" x14ac:dyDescent="0.25">
      <c r="F368" s="8"/>
      <c r="G368" s="8"/>
      <c r="H368" s="8"/>
    </row>
    <row r="369" spans="6:8" ht="15.75" customHeight="1" x14ac:dyDescent="0.25">
      <c r="F369" s="8"/>
      <c r="G369" s="8"/>
      <c r="H369" s="8"/>
    </row>
    <row r="370" spans="6:8" ht="15.75" customHeight="1" x14ac:dyDescent="0.25">
      <c r="F370" s="8"/>
      <c r="G370" s="8"/>
      <c r="H370" s="8"/>
    </row>
    <row r="371" spans="6:8" ht="15.75" customHeight="1" x14ac:dyDescent="0.25">
      <c r="F371" s="8"/>
      <c r="G371" s="8"/>
      <c r="H371" s="8"/>
    </row>
    <row r="372" spans="6:8" ht="15.75" customHeight="1" x14ac:dyDescent="0.25">
      <c r="F372" s="8"/>
      <c r="G372" s="8"/>
      <c r="H372" s="8"/>
    </row>
    <row r="373" spans="6:8" ht="15.75" customHeight="1" x14ac:dyDescent="0.25">
      <c r="F373" s="8"/>
      <c r="G373" s="8"/>
      <c r="H373" s="8"/>
    </row>
    <row r="374" spans="6:8" ht="15.75" customHeight="1" x14ac:dyDescent="0.25">
      <c r="F374" s="8"/>
      <c r="G374" s="8"/>
      <c r="H374" s="8"/>
    </row>
    <row r="375" spans="6:8" ht="15.75" customHeight="1" x14ac:dyDescent="0.25">
      <c r="F375" s="8"/>
      <c r="G375" s="8"/>
      <c r="H375" s="8"/>
    </row>
    <row r="376" spans="6:8" ht="15.75" customHeight="1" x14ac:dyDescent="0.25">
      <c r="F376" s="8"/>
      <c r="G376" s="8"/>
      <c r="H376" s="8"/>
    </row>
    <row r="377" spans="6:8" ht="15.75" customHeight="1" x14ac:dyDescent="0.25">
      <c r="F377" s="8"/>
      <c r="G377" s="8"/>
      <c r="H377" s="8"/>
    </row>
    <row r="378" spans="6:8" ht="15.75" customHeight="1" x14ac:dyDescent="0.25">
      <c r="F378" s="8"/>
      <c r="G378" s="8"/>
      <c r="H378" s="8"/>
    </row>
    <row r="379" spans="6:8" ht="15.75" customHeight="1" x14ac:dyDescent="0.25">
      <c r="F379" s="8"/>
      <c r="G379" s="8"/>
      <c r="H379" s="8"/>
    </row>
    <row r="380" spans="6:8" ht="15.75" customHeight="1" x14ac:dyDescent="0.25">
      <c r="F380" s="8"/>
      <c r="G380" s="8"/>
      <c r="H380" s="8"/>
    </row>
    <row r="381" spans="6:8" ht="15.75" customHeight="1" x14ac:dyDescent="0.25">
      <c r="F381" s="8"/>
      <c r="G381" s="8"/>
      <c r="H381" s="8"/>
    </row>
    <row r="382" spans="6:8" ht="15.75" customHeight="1" x14ac:dyDescent="0.25">
      <c r="F382" s="8"/>
      <c r="G382" s="8"/>
      <c r="H382" s="8"/>
    </row>
    <row r="383" spans="6:8" ht="15.75" customHeight="1" x14ac:dyDescent="0.25">
      <c r="F383" s="8"/>
      <c r="G383" s="8"/>
      <c r="H383" s="8"/>
    </row>
    <row r="384" spans="6:8" ht="15.75" customHeight="1" x14ac:dyDescent="0.25">
      <c r="F384" s="8"/>
      <c r="G384" s="8"/>
      <c r="H384" s="8"/>
    </row>
    <row r="385" spans="6:8" ht="15.75" customHeight="1" x14ac:dyDescent="0.25">
      <c r="F385" s="8"/>
      <c r="G385" s="8"/>
      <c r="H385" s="8"/>
    </row>
    <row r="386" spans="6:8" ht="15.75" customHeight="1" x14ac:dyDescent="0.25">
      <c r="F386" s="8"/>
      <c r="G386" s="8"/>
      <c r="H386" s="8"/>
    </row>
    <row r="387" spans="6:8" ht="15.75" customHeight="1" x14ac:dyDescent="0.25">
      <c r="F387" s="8"/>
      <c r="G387" s="8"/>
      <c r="H387" s="8"/>
    </row>
    <row r="388" spans="6:8" ht="15.75" customHeight="1" x14ac:dyDescent="0.25">
      <c r="F388" s="8"/>
      <c r="G388" s="8"/>
      <c r="H388" s="8"/>
    </row>
    <row r="389" spans="6:8" ht="15.75" customHeight="1" x14ac:dyDescent="0.25">
      <c r="F389" s="8"/>
      <c r="G389" s="8"/>
      <c r="H389" s="8"/>
    </row>
    <row r="390" spans="6:8" ht="15.75" customHeight="1" x14ac:dyDescent="0.25">
      <c r="F390" s="8"/>
      <c r="G390" s="8"/>
      <c r="H390" s="8"/>
    </row>
    <row r="391" spans="6:8" ht="15.75" customHeight="1" x14ac:dyDescent="0.25">
      <c r="F391" s="8"/>
      <c r="G391" s="8"/>
      <c r="H391" s="8"/>
    </row>
    <row r="392" spans="6:8" ht="15.75" customHeight="1" x14ac:dyDescent="0.25">
      <c r="F392" s="8"/>
      <c r="G392" s="8"/>
      <c r="H392" s="8"/>
    </row>
    <row r="393" spans="6:8" ht="15.75" customHeight="1" x14ac:dyDescent="0.25">
      <c r="F393" s="8"/>
      <c r="G393" s="8"/>
      <c r="H393" s="8"/>
    </row>
    <row r="394" spans="6:8" ht="15.75" customHeight="1" x14ac:dyDescent="0.25">
      <c r="F394" s="8"/>
      <c r="G394" s="8"/>
      <c r="H394" s="8"/>
    </row>
    <row r="395" spans="6:8" ht="15.75" customHeight="1" x14ac:dyDescent="0.25">
      <c r="F395" s="8"/>
      <c r="G395" s="8"/>
      <c r="H395" s="8"/>
    </row>
    <row r="396" spans="6:8" ht="15.75" customHeight="1" x14ac:dyDescent="0.25">
      <c r="F396" s="8"/>
      <c r="G396" s="8"/>
      <c r="H396" s="8"/>
    </row>
    <row r="397" spans="6:8" ht="15.75" customHeight="1" x14ac:dyDescent="0.25">
      <c r="F397" s="8"/>
      <c r="G397" s="8"/>
      <c r="H397" s="8"/>
    </row>
    <row r="398" spans="6:8" ht="15.75" customHeight="1" x14ac:dyDescent="0.25">
      <c r="F398" s="8"/>
      <c r="G398" s="8"/>
      <c r="H398" s="8"/>
    </row>
    <row r="399" spans="6:8" ht="15.75" customHeight="1" x14ac:dyDescent="0.25">
      <c r="F399" s="8"/>
      <c r="G399" s="8"/>
      <c r="H399" s="8"/>
    </row>
    <row r="400" spans="6:8" ht="15.75" customHeight="1" x14ac:dyDescent="0.25">
      <c r="F400" s="8"/>
      <c r="G400" s="8"/>
      <c r="H400" s="8"/>
    </row>
    <row r="401" spans="6:8" ht="15.75" customHeight="1" x14ac:dyDescent="0.25">
      <c r="F401" s="8"/>
      <c r="G401" s="8"/>
      <c r="H401" s="8"/>
    </row>
    <row r="402" spans="6:8" ht="15.75" customHeight="1" x14ac:dyDescent="0.25">
      <c r="F402" s="8"/>
      <c r="G402" s="8"/>
      <c r="H402" s="8"/>
    </row>
    <row r="403" spans="6:8" ht="15.75" customHeight="1" x14ac:dyDescent="0.25">
      <c r="F403" s="8"/>
      <c r="G403" s="8"/>
      <c r="H403" s="8"/>
    </row>
    <row r="404" spans="6:8" ht="15.75" customHeight="1" x14ac:dyDescent="0.25">
      <c r="F404" s="8"/>
      <c r="G404" s="8"/>
      <c r="H404" s="8"/>
    </row>
    <row r="405" spans="6:8" ht="15.75" customHeight="1" x14ac:dyDescent="0.25">
      <c r="F405" s="8"/>
      <c r="G405" s="8"/>
      <c r="H405" s="8"/>
    </row>
    <row r="406" spans="6:8" ht="15.75" customHeight="1" x14ac:dyDescent="0.25">
      <c r="F406" s="8"/>
      <c r="G406" s="8"/>
      <c r="H406" s="8"/>
    </row>
    <row r="407" spans="6:8" ht="15.75" customHeight="1" x14ac:dyDescent="0.25">
      <c r="F407" s="8"/>
      <c r="G407" s="8"/>
      <c r="H407" s="8"/>
    </row>
    <row r="408" spans="6:8" ht="15.75" customHeight="1" x14ac:dyDescent="0.25">
      <c r="F408" s="8"/>
      <c r="G408" s="8"/>
      <c r="H408" s="8"/>
    </row>
    <row r="409" spans="6:8" ht="15.75" customHeight="1" x14ac:dyDescent="0.25">
      <c r="F409" s="8"/>
      <c r="G409" s="8"/>
      <c r="H409" s="8"/>
    </row>
    <row r="410" spans="6:8" ht="15.75" customHeight="1" x14ac:dyDescent="0.25">
      <c r="F410" s="8"/>
      <c r="G410" s="8"/>
      <c r="H410" s="8"/>
    </row>
    <row r="411" spans="6:8" ht="15.75" customHeight="1" x14ac:dyDescent="0.25">
      <c r="F411" s="8"/>
      <c r="G411" s="8"/>
      <c r="H411" s="8"/>
    </row>
    <row r="412" spans="6:8" ht="15.75" customHeight="1" x14ac:dyDescent="0.25">
      <c r="F412" s="8"/>
      <c r="G412" s="8"/>
      <c r="H412" s="8"/>
    </row>
    <row r="413" spans="6:8" ht="15.75" customHeight="1" x14ac:dyDescent="0.25">
      <c r="F413" s="8"/>
      <c r="G413" s="8"/>
      <c r="H413" s="8"/>
    </row>
    <row r="414" spans="6:8" ht="15.75" customHeight="1" x14ac:dyDescent="0.25">
      <c r="F414" s="8"/>
      <c r="G414" s="8"/>
      <c r="H414" s="8"/>
    </row>
    <row r="415" spans="6:8" ht="15.75" customHeight="1" x14ac:dyDescent="0.25">
      <c r="F415" s="8"/>
      <c r="G415" s="8"/>
      <c r="H415" s="8"/>
    </row>
    <row r="416" spans="6:8" ht="15.75" customHeight="1" x14ac:dyDescent="0.25">
      <c r="F416" s="8"/>
      <c r="G416" s="8"/>
      <c r="H416" s="8"/>
    </row>
    <row r="417" spans="6:8" ht="15.75" customHeight="1" x14ac:dyDescent="0.25">
      <c r="F417" s="8"/>
      <c r="G417" s="8"/>
      <c r="H417" s="8"/>
    </row>
    <row r="418" spans="6:8" ht="15.75" customHeight="1" x14ac:dyDescent="0.25">
      <c r="F418" s="8"/>
      <c r="G418" s="8"/>
      <c r="H418" s="8"/>
    </row>
    <row r="419" spans="6:8" ht="15.75" customHeight="1" x14ac:dyDescent="0.25">
      <c r="F419" s="8"/>
      <c r="G419" s="8"/>
      <c r="H419" s="8"/>
    </row>
    <row r="420" spans="6:8" ht="15.75" customHeight="1" x14ac:dyDescent="0.25">
      <c r="F420" s="8"/>
      <c r="G420" s="8"/>
      <c r="H420" s="8"/>
    </row>
    <row r="421" spans="6:8" ht="15.75" customHeight="1" x14ac:dyDescent="0.25">
      <c r="F421" s="8"/>
      <c r="G421" s="8"/>
      <c r="H421" s="8"/>
    </row>
    <row r="422" spans="6:8" ht="15.75" customHeight="1" x14ac:dyDescent="0.25">
      <c r="F422" s="8"/>
      <c r="G422" s="8"/>
      <c r="H422" s="8"/>
    </row>
    <row r="423" spans="6:8" ht="15.75" customHeight="1" x14ac:dyDescent="0.25">
      <c r="F423" s="8"/>
      <c r="G423" s="8"/>
      <c r="H423" s="8"/>
    </row>
    <row r="424" spans="6:8" ht="15.75" customHeight="1" x14ac:dyDescent="0.25">
      <c r="F424" s="8"/>
      <c r="G424" s="8"/>
      <c r="H424" s="8"/>
    </row>
    <row r="425" spans="6:8" ht="15.75" customHeight="1" x14ac:dyDescent="0.25">
      <c r="F425" s="8"/>
      <c r="G425" s="8"/>
      <c r="H425" s="8"/>
    </row>
    <row r="426" spans="6:8" ht="15.75" customHeight="1" x14ac:dyDescent="0.25">
      <c r="F426" s="8"/>
      <c r="G426" s="8"/>
      <c r="H426" s="8"/>
    </row>
    <row r="427" spans="6:8" ht="15.75" customHeight="1" x14ac:dyDescent="0.25">
      <c r="F427" s="8"/>
      <c r="G427" s="8"/>
      <c r="H427" s="8"/>
    </row>
    <row r="428" spans="6:8" ht="15.75" customHeight="1" x14ac:dyDescent="0.25">
      <c r="F428" s="8"/>
      <c r="G428" s="8"/>
      <c r="H428" s="8"/>
    </row>
    <row r="429" spans="6:8" ht="15.75" customHeight="1" x14ac:dyDescent="0.25">
      <c r="F429" s="8"/>
      <c r="G429" s="8"/>
      <c r="H429" s="8"/>
    </row>
    <row r="430" spans="6:8" ht="15.75" customHeight="1" x14ac:dyDescent="0.25">
      <c r="F430" s="8"/>
      <c r="G430" s="8"/>
      <c r="H430" s="8"/>
    </row>
    <row r="431" spans="6:8" ht="15.75" customHeight="1" x14ac:dyDescent="0.25">
      <c r="F431" s="8"/>
      <c r="G431" s="8"/>
      <c r="H431" s="8"/>
    </row>
    <row r="432" spans="6:8" ht="15.75" customHeight="1" x14ac:dyDescent="0.25">
      <c r="F432" s="8"/>
      <c r="G432" s="8"/>
      <c r="H432" s="8"/>
    </row>
    <row r="433" spans="6:8" ht="15.75" customHeight="1" x14ac:dyDescent="0.25">
      <c r="F433" s="8"/>
      <c r="G433" s="8"/>
      <c r="H433" s="8"/>
    </row>
    <row r="434" spans="6:8" ht="15.75" customHeight="1" x14ac:dyDescent="0.25">
      <c r="F434" s="8"/>
      <c r="G434" s="8"/>
      <c r="H434" s="8"/>
    </row>
    <row r="435" spans="6:8" ht="15.75" customHeight="1" x14ac:dyDescent="0.25">
      <c r="F435" s="8"/>
      <c r="G435" s="8"/>
      <c r="H435" s="8"/>
    </row>
    <row r="436" spans="6:8" ht="15.75" customHeight="1" x14ac:dyDescent="0.25">
      <c r="F436" s="8"/>
      <c r="G436" s="8"/>
      <c r="H436" s="8"/>
    </row>
    <row r="437" spans="6:8" ht="15.75" customHeight="1" x14ac:dyDescent="0.25">
      <c r="F437" s="8"/>
      <c r="G437" s="8"/>
      <c r="H437" s="8"/>
    </row>
    <row r="438" spans="6:8" ht="15.75" customHeight="1" x14ac:dyDescent="0.25">
      <c r="F438" s="8"/>
      <c r="G438" s="8"/>
      <c r="H438" s="8"/>
    </row>
    <row r="439" spans="6:8" ht="15.75" customHeight="1" x14ac:dyDescent="0.25">
      <c r="F439" s="8"/>
      <c r="G439" s="8"/>
      <c r="H439" s="8"/>
    </row>
    <row r="440" spans="6:8" ht="15.75" customHeight="1" x14ac:dyDescent="0.25">
      <c r="F440" s="8"/>
      <c r="G440" s="8"/>
      <c r="H440" s="8"/>
    </row>
    <row r="441" spans="6:8" ht="15.75" customHeight="1" x14ac:dyDescent="0.25">
      <c r="F441" s="8"/>
      <c r="G441" s="8"/>
      <c r="H441" s="8"/>
    </row>
    <row r="442" spans="6:8" ht="15.75" customHeight="1" x14ac:dyDescent="0.25">
      <c r="F442" s="8"/>
      <c r="G442" s="8"/>
      <c r="H442" s="8"/>
    </row>
    <row r="443" spans="6:8" ht="15.75" customHeight="1" x14ac:dyDescent="0.25">
      <c r="F443" s="8"/>
      <c r="G443" s="8"/>
      <c r="H443" s="8"/>
    </row>
    <row r="444" spans="6:8" ht="15.75" customHeight="1" x14ac:dyDescent="0.25">
      <c r="F444" s="8"/>
      <c r="G444" s="8"/>
      <c r="H444" s="8"/>
    </row>
    <row r="445" spans="6:8" ht="15.75" customHeight="1" x14ac:dyDescent="0.25">
      <c r="F445" s="8"/>
      <c r="G445" s="8"/>
      <c r="H445" s="8"/>
    </row>
    <row r="446" spans="6:8" ht="15.75" customHeight="1" x14ac:dyDescent="0.25">
      <c r="F446" s="8"/>
      <c r="G446" s="8"/>
      <c r="H446" s="8"/>
    </row>
    <row r="447" spans="6:8" ht="15.75" customHeight="1" x14ac:dyDescent="0.25">
      <c r="F447" s="8"/>
      <c r="G447" s="8"/>
      <c r="H447" s="8"/>
    </row>
    <row r="448" spans="6:8" ht="15.75" customHeight="1" x14ac:dyDescent="0.25">
      <c r="F448" s="8"/>
      <c r="G448" s="8"/>
      <c r="H448" s="8"/>
    </row>
    <row r="449" spans="6:8" ht="15.75" customHeight="1" x14ac:dyDescent="0.25">
      <c r="F449" s="8"/>
      <c r="G449" s="8"/>
      <c r="H449" s="8"/>
    </row>
    <row r="450" spans="6:8" ht="15.75" customHeight="1" x14ac:dyDescent="0.25">
      <c r="F450" s="8"/>
      <c r="G450" s="8"/>
      <c r="H450" s="8"/>
    </row>
    <row r="451" spans="6:8" ht="15.75" customHeight="1" x14ac:dyDescent="0.25">
      <c r="F451" s="8"/>
      <c r="G451" s="8"/>
      <c r="H451" s="8"/>
    </row>
    <row r="452" spans="6:8" ht="15.75" customHeight="1" x14ac:dyDescent="0.25">
      <c r="F452" s="8"/>
      <c r="G452" s="8"/>
      <c r="H452" s="8"/>
    </row>
    <row r="453" spans="6:8" ht="15.75" customHeight="1" x14ac:dyDescent="0.25">
      <c r="F453" s="8"/>
      <c r="G453" s="8"/>
      <c r="H453" s="8"/>
    </row>
    <row r="454" spans="6:8" ht="15.75" customHeight="1" x14ac:dyDescent="0.25">
      <c r="F454" s="8"/>
      <c r="G454" s="8"/>
      <c r="H454" s="8"/>
    </row>
    <row r="455" spans="6:8" ht="15.75" customHeight="1" x14ac:dyDescent="0.25">
      <c r="F455" s="8"/>
      <c r="G455" s="8"/>
      <c r="H455" s="8"/>
    </row>
    <row r="456" spans="6:8" ht="15.75" customHeight="1" x14ac:dyDescent="0.25">
      <c r="F456" s="8"/>
      <c r="G456" s="8"/>
      <c r="H456" s="8"/>
    </row>
    <row r="457" spans="6:8" ht="15.75" customHeight="1" x14ac:dyDescent="0.25">
      <c r="F457" s="8"/>
      <c r="G457" s="8"/>
      <c r="H457" s="8"/>
    </row>
    <row r="458" spans="6:8" ht="15.75" customHeight="1" x14ac:dyDescent="0.25">
      <c r="F458" s="8"/>
      <c r="G458" s="8"/>
      <c r="H458" s="8"/>
    </row>
    <row r="459" spans="6:8" ht="15.75" customHeight="1" x14ac:dyDescent="0.25">
      <c r="F459" s="8"/>
      <c r="G459" s="8"/>
      <c r="H459" s="8"/>
    </row>
    <row r="460" spans="6:8" ht="15.75" customHeight="1" x14ac:dyDescent="0.25">
      <c r="F460" s="8"/>
      <c r="G460" s="8"/>
      <c r="H460" s="8"/>
    </row>
    <row r="461" spans="6:8" ht="15.75" customHeight="1" x14ac:dyDescent="0.25">
      <c r="F461" s="8"/>
      <c r="G461" s="8"/>
      <c r="H461" s="8"/>
    </row>
    <row r="462" spans="6:8" ht="15.75" customHeight="1" x14ac:dyDescent="0.25">
      <c r="F462" s="8"/>
      <c r="G462" s="8"/>
      <c r="H462" s="8"/>
    </row>
    <row r="463" spans="6:8" ht="15.75" customHeight="1" x14ac:dyDescent="0.25">
      <c r="F463" s="8"/>
      <c r="G463" s="8"/>
      <c r="H463" s="8"/>
    </row>
    <row r="464" spans="6:8" ht="15.75" customHeight="1" x14ac:dyDescent="0.25">
      <c r="F464" s="8"/>
      <c r="G464" s="8"/>
      <c r="H464" s="8"/>
    </row>
    <row r="465" spans="6:8" ht="15.75" customHeight="1" x14ac:dyDescent="0.25">
      <c r="F465" s="8"/>
      <c r="G465" s="8"/>
      <c r="H465" s="8"/>
    </row>
    <row r="466" spans="6:8" ht="15.75" customHeight="1" x14ac:dyDescent="0.25">
      <c r="F466" s="8"/>
      <c r="G466" s="8"/>
      <c r="H466" s="8"/>
    </row>
    <row r="467" spans="6:8" ht="15.75" customHeight="1" x14ac:dyDescent="0.25">
      <c r="F467" s="8"/>
      <c r="G467" s="8"/>
      <c r="H467" s="8"/>
    </row>
    <row r="468" spans="6:8" ht="15.75" customHeight="1" x14ac:dyDescent="0.25">
      <c r="F468" s="8"/>
      <c r="G468" s="8"/>
      <c r="H468" s="8"/>
    </row>
    <row r="469" spans="6:8" ht="15.75" customHeight="1" x14ac:dyDescent="0.25">
      <c r="F469" s="8"/>
      <c r="G469" s="8"/>
      <c r="H469" s="8"/>
    </row>
    <row r="470" spans="6:8" ht="15.75" customHeight="1" x14ac:dyDescent="0.25">
      <c r="F470" s="8"/>
      <c r="G470" s="8"/>
      <c r="H470" s="8"/>
    </row>
    <row r="471" spans="6:8" ht="15.75" customHeight="1" x14ac:dyDescent="0.25">
      <c r="F471" s="8"/>
      <c r="G471" s="8"/>
      <c r="H471" s="8"/>
    </row>
    <row r="472" spans="6:8" ht="15.75" customHeight="1" x14ac:dyDescent="0.25">
      <c r="F472" s="8"/>
      <c r="G472" s="8"/>
      <c r="H472" s="8"/>
    </row>
    <row r="473" spans="6:8" ht="15.75" customHeight="1" x14ac:dyDescent="0.25">
      <c r="F473" s="8"/>
      <c r="G473" s="8"/>
      <c r="H473" s="8"/>
    </row>
    <row r="474" spans="6:8" ht="15.75" customHeight="1" x14ac:dyDescent="0.25">
      <c r="F474" s="8"/>
      <c r="G474" s="8"/>
      <c r="H474" s="8"/>
    </row>
    <row r="475" spans="6:8" ht="15.75" customHeight="1" x14ac:dyDescent="0.25">
      <c r="F475" s="8"/>
      <c r="G475" s="8"/>
      <c r="H475" s="8"/>
    </row>
    <row r="476" spans="6:8" ht="15.75" customHeight="1" x14ac:dyDescent="0.25">
      <c r="F476" s="8"/>
      <c r="G476" s="8"/>
      <c r="H476" s="8"/>
    </row>
    <row r="477" spans="6:8" ht="15.75" customHeight="1" x14ac:dyDescent="0.25">
      <c r="F477" s="8"/>
      <c r="G477" s="8"/>
      <c r="H477" s="8"/>
    </row>
    <row r="478" spans="6:8" ht="15.75" customHeight="1" x14ac:dyDescent="0.25">
      <c r="F478" s="8"/>
      <c r="G478" s="8"/>
      <c r="H478" s="8"/>
    </row>
    <row r="479" spans="6:8" ht="15.75" customHeight="1" x14ac:dyDescent="0.25">
      <c r="F479" s="8"/>
      <c r="G479" s="8"/>
      <c r="H479" s="8"/>
    </row>
    <row r="480" spans="6:8" ht="15.75" customHeight="1" x14ac:dyDescent="0.25">
      <c r="F480" s="8"/>
      <c r="G480" s="8"/>
      <c r="H480" s="8"/>
    </row>
    <row r="481" spans="6:8" ht="15.75" customHeight="1" x14ac:dyDescent="0.25">
      <c r="F481" s="8"/>
      <c r="G481" s="8"/>
      <c r="H481" s="8"/>
    </row>
    <row r="482" spans="6:8" ht="15.75" customHeight="1" x14ac:dyDescent="0.25">
      <c r="F482" s="8"/>
      <c r="G482" s="8"/>
      <c r="H482" s="8"/>
    </row>
    <row r="483" spans="6:8" ht="15.75" customHeight="1" x14ac:dyDescent="0.25">
      <c r="F483" s="8"/>
      <c r="G483" s="8"/>
      <c r="H483" s="8"/>
    </row>
    <row r="484" spans="6:8" ht="15.75" customHeight="1" x14ac:dyDescent="0.25">
      <c r="F484" s="8"/>
      <c r="G484" s="8"/>
      <c r="H484" s="8"/>
    </row>
    <row r="485" spans="6:8" ht="15.75" customHeight="1" x14ac:dyDescent="0.25">
      <c r="F485" s="8"/>
      <c r="G485" s="8"/>
      <c r="H485" s="8"/>
    </row>
    <row r="486" spans="6:8" ht="15.75" customHeight="1" x14ac:dyDescent="0.25">
      <c r="F486" s="8"/>
      <c r="G486" s="8"/>
      <c r="H486" s="8"/>
    </row>
    <row r="487" spans="6:8" ht="15.75" customHeight="1" x14ac:dyDescent="0.25">
      <c r="F487" s="8"/>
      <c r="G487" s="8"/>
      <c r="H487" s="8"/>
    </row>
    <row r="488" spans="6:8" ht="15.75" customHeight="1" x14ac:dyDescent="0.25">
      <c r="F488" s="8"/>
      <c r="G488" s="8"/>
      <c r="H488" s="8"/>
    </row>
    <row r="489" spans="6:8" ht="15.75" customHeight="1" x14ac:dyDescent="0.25">
      <c r="F489" s="8"/>
      <c r="G489" s="8"/>
      <c r="H489" s="8"/>
    </row>
    <row r="490" spans="6:8" ht="15.75" customHeight="1" x14ac:dyDescent="0.25">
      <c r="F490" s="8"/>
      <c r="G490" s="8"/>
      <c r="H490" s="8"/>
    </row>
    <row r="491" spans="6:8" ht="15.75" customHeight="1" x14ac:dyDescent="0.25">
      <c r="F491" s="8"/>
      <c r="G491" s="8"/>
      <c r="H491" s="8"/>
    </row>
    <row r="492" spans="6:8" ht="15.75" customHeight="1" x14ac:dyDescent="0.25">
      <c r="F492" s="8"/>
      <c r="G492" s="8"/>
      <c r="H492" s="8"/>
    </row>
    <row r="493" spans="6:8" ht="15.75" customHeight="1" x14ac:dyDescent="0.25">
      <c r="F493" s="8"/>
      <c r="G493" s="8"/>
      <c r="H493" s="8"/>
    </row>
    <row r="494" spans="6:8" ht="15.75" customHeight="1" x14ac:dyDescent="0.25">
      <c r="F494" s="8"/>
      <c r="G494" s="8"/>
      <c r="H494" s="8"/>
    </row>
    <row r="495" spans="6:8" ht="15.75" customHeight="1" x14ac:dyDescent="0.25">
      <c r="F495" s="8"/>
      <c r="G495" s="8"/>
      <c r="H495" s="8"/>
    </row>
    <row r="496" spans="6:8" ht="15.75" customHeight="1" x14ac:dyDescent="0.25">
      <c r="F496" s="8"/>
      <c r="G496" s="8"/>
      <c r="H496" s="8"/>
    </row>
    <row r="497" spans="6:8" ht="15.75" customHeight="1" x14ac:dyDescent="0.25">
      <c r="F497" s="8"/>
      <c r="G497" s="8"/>
      <c r="H497" s="8"/>
    </row>
    <row r="498" spans="6:8" ht="15.75" customHeight="1" x14ac:dyDescent="0.25">
      <c r="F498" s="8"/>
      <c r="G498" s="8"/>
      <c r="H498" s="8"/>
    </row>
    <row r="499" spans="6:8" ht="15.75" customHeight="1" x14ac:dyDescent="0.25">
      <c r="F499" s="8"/>
      <c r="G499" s="8"/>
      <c r="H499" s="8"/>
    </row>
    <row r="500" spans="6:8" ht="15.75" customHeight="1" x14ac:dyDescent="0.25">
      <c r="F500" s="8"/>
      <c r="G500" s="8"/>
      <c r="H500" s="8"/>
    </row>
    <row r="501" spans="6:8" ht="15.75" customHeight="1" x14ac:dyDescent="0.25">
      <c r="F501" s="8"/>
      <c r="G501" s="8"/>
      <c r="H501" s="8"/>
    </row>
    <row r="502" spans="6:8" ht="15.75" customHeight="1" x14ac:dyDescent="0.25">
      <c r="F502" s="8"/>
      <c r="G502" s="8"/>
      <c r="H502" s="8"/>
    </row>
    <row r="503" spans="6:8" ht="15.75" customHeight="1" x14ac:dyDescent="0.25">
      <c r="F503" s="8"/>
      <c r="G503" s="8"/>
      <c r="H503" s="8"/>
    </row>
    <row r="504" spans="6:8" ht="15.75" customHeight="1" x14ac:dyDescent="0.25">
      <c r="F504" s="8"/>
      <c r="G504" s="8"/>
      <c r="H504" s="8"/>
    </row>
    <row r="505" spans="6:8" ht="15.75" customHeight="1" x14ac:dyDescent="0.25">
      <c r="F505" s="8"/>
      <c r="G505" s="8"/>
      <c r="H505" s="8"/>
    </row>
    <row r="506" spans="6:8" ht="15.75" customHeight="1" x14ac:dyDescent="0.25">
      <c r="F506" s="8"/>
      <c r="G506" s="8"/>
      <c r="H506" s="8"/>
    </row>
    <row r="507" spans="6:8" ht="15.75" customHeight="1" x14ac:dyDescent="0.25">
      <c r="F507" s="8"/>
      <c r="G507" s="8"/>
      <c r="H507" s="8"/>
    </row>
    <row r="508" spans="6:8" ht="15.75" customHeight="1" x14ac:dyDescent="0.25">
      <c r="F508" s="8"/>
      <c r="G508" s="8"/>
      <c r="H508" s="8"/>
    </row>
    <row r="509" spans="6:8" ht="15.75" customHeight="1" x14ac:dyDescent="0.25">
      <c r="F509" s="8"/>
      <c r="G509" s="8"/>
      <c r="H509" s="8"/>
    </row>
    <row r="510" spans="6:8" ht="15.75" customHeight="1" x14ac:dyDescent="0.25">
      <c r="F510" s="8"/>
      <c r="G510" s="8"/>
      <c r="H510" s="8"/>
    </row>
    <row r="511" spans="6:8" ht="15.75" customHeight="1" x14ac:dyDescent="0.25">
      <c r="F511" s="8"/>
      <c r="G511" s="8"/>
      <c r="H511" s="8"/>
    </row>
    <row r="512" spans="6:8" ht="15.75" customHeight="1" x14ac:dyDescent="0.25">
      <c r="F512" s="8"/>
      <c r="G512" s="8"/>
      <c r="H512" s="8"/>
    </row>
    <row r="513" spans="6:8" ht="15.75" customHeight="1" x14ac:dyDescent="0.25">
      <c r="F513" s="8"/>
      <c r="G513" s="8"/>
      <c r="H513" s="8"/>
    </row>
    <row r="514" spans="6:8" ht="15.75" customHeight="1" x14ac:dyDescent="0.25">
      <c r="F514" s="8"/>
      <c r="G514" s="8"/>
      <c r="H514" s="8"/>
    </row>
    <row r="515" spans="6:8" ht="15.75" customHeight="1" x14ac:dyDescent="0.25">
      <c r="F515" s="8"/>
      <c r="G515" s="8"/>
      <c r="H515" s="8"/>
    </row>
    <row r="516" spans="6:8" ht="15.75" customHeight="1" x14ac:dyDescent="0.25">
      <c r="F516" s="8"/>
      <c r="G516" s="8"/>
      <c r="H516" s="8"/>
    </row>
    <row r="517" spans="6:8" ht="15.75" customHeight="1" x14ac:dyDescent="0.25">
      <c r="F517" s="8"/>
      <c r="G517" s="8"/>
      <c r="H517" s="8"/>
    </row>
    <row r="518" spans="6:8" ht="15.75" customHeight="1" x14ac:dyDescent="0.25">
      <c r="F518" s="8"/>
      <c r="G518" s="8"/>
      <c r="H518" s="8"/>
    </row>
    <row r="519" spans="6:8" ht="15.75" customHeight="1" x14ac:dyDescent="0.25">
      <c r="F519" s="8"/>
      <c r="G519" s="8"/>
      <c r="H519" s="8"/>
    </row>
    <row r="520" spans="6:8" ht="15.75" customHeight="1" x14ac:dyDescent="0.25">
      <c r="F520" s="8"/>
      <c r="G520" s="8"/>
      <c r="H520" s="8"/>
    </row>
    <row r="521" spans="6:8" ht="15.75" customHeight="1" x14ac:dyDescent="0.25">
      <c r="F521" s="8"/>
      <c r="G521" s="8"/>
      <c r="H521" s="8"/>
    </row>
    <row r="522" spans="6:8" ht="15.75" customHeight="1" x14ac:dyDescent="0.25">
      <c r="F522" s="8"/>
      <c r="G522" s="8"/>
      <c r="H522" s="8"/>
    </row>
    <row r="523" spans="6:8" ht="15.75" customHeight="1" x14ac:dyDescent="0.25">
      <c r="F523" s="8"/>
      <c r="G523" s="8"/>
      <c r="H523" s="8"/>
    </row>
    <row r="524" spans="6:8" ht="15.75" customHeight="1" x14ac:dyDescent="0.25">
      <c r="F524" s="8"/>
      <c r="G524" s="8"/>
      <c r="H524" s="8"/>
    </row>
    <row r="525" spans="6:8" ht="15.75" customHeight="1" x14ac:dyDescent="0.25">
      <c r="F525" s="8"/>
      <c r="G525" s="8"/>
      <c r="H525" s="8"/>
    </row>
    <row r="526" spans="6:8" ht="15.75" customHeight="1" x14ac:dyDescent="0.25">
      <c r="F526" s="8"/>
      <c r="G526" s="8"/>
      <c r="H526" s="8"/>
    </row>
    <row r="527" spans="6:8" ht="15.75" customHeight="1" x14ac:dyDescent="0.25">
      <c r="F527" s="8"/>
      <c r="G527" s="8"/>
      <c r="H527" s="8"/>
    </row>
    <row r="528" spans="6:8" ht="15.75" customHeight="1" x14ac:dyDescent="0.25">
      <c r="F528" s="8"/>
      <c r="G528" s="8"/>
      <c r="H528" s="8"/>
    </row>
    <row r="529" spans="6:8" ht="15.75" customHeight="1" x14ac:dyDescent="0.25">
      <c r="F529" s="8"/>
      <c r="G529" s="8"/>
      <c r="H529" s="8"/>
    </row>
    <row r="530" spans="6:8" ht="15.75" customHeight="1" x14ac:dyDescent="0.25">
      <c r="F530" s="8"/>
      <c r="G530" s="8"/>
      <c r="H530" s="8"/>
    </row>
    <row r="531" spans="6:8" ht="15.75" customHeight="1" x14ac:dyDescent="0.25">
      <c r="F531" s="8"/>
      <c r="G531" s="8"/>
      <c r="H531" s="8"/>
    </row>
    <row r="532" spans="6:8" ht="15.75" customHeight="1" x14ac:dyDescent="0.25">
      <c r="F532" s="8"/>
      <c r="G532" s="8"/>
      <c r="H532" s="8"/>
    </row>
    <row r="533" spans="6:8" ht="15.75" customHeight="1" x14ac:dyDescent="0.25">
      <c r="F533" s="8"/>
      <c r="G533" s="8"/>
      <c r="H533" s="8"/>
    </row>
    <row r="534" spans="6:8" ht="15.75" customHeight="1" x14ac:dyDescent="0.25">
      <c r="F534" s="8"/>
      <c r="G534" s="8"/>
      <c r="H534" s="8"/>
    </row>
    <row r="535" spans="6:8" ht="15.75" customHeight="1" x14ac:dyDescent="0.25">
      <c r="F535" s="8"/>
      <c r="G535" s="8"/>
      <c r="H535" s="8"/>
    </row>
    <row r="536" spans="6:8" ht="15.75" customHeight="1" x14ac:dyDescent="0.25">
      <c r="F536" s="8"/>
      <c r="G536" s="8"/>
      <c r="H536" s="8"/>
    </row>
    <row r="537" spans="6:8" ht="15.75" customHeight="1" x14ac:dyDescent="0.25">
      <c r="F537" s="8"/>
      <c r="G537" s="8"/>
      <c r="H537" s="8"/>
    </row>
    <row r="538" spans="6:8" ht="15.75" customHeight="1" x14ac:dyDescent="0.25">
      <c r="F538" s="8"/>
      <c r="G538" s="8"/>
      <c r="H538" s="8"/>
    </row>
    <row r="539" spans="6:8" ht="15.75" customHeight="1" x14ac:dyDescent="0.25">
      <c r="F539" s="8"/>
      <c r="G539" s="8"/>
      <c r="H539" s="8"/>
    </row>
    <row r="540" spans="6:8" ht="15.75" customHeight="1" x14ac:dyDescent="0.25">
      <c r="F540" s="8"/>
      <c r="G540" s="8"/>
      <c r="H540" s="8"/>
    </row>
    <row r="541" spans="6:8" ht="15.75" customHeight="1" x14ac:dyDescent="0.25">
      <c r="F541" s="8"/>
      <c r="G541" s="8"/>
      <c r="H541" s="8"/>
    </row>
    <row r="542" spans="6:8" ht="15.75" customHeight="1" x14ac:dyDescent="0.25">
      <c r="F542" s="8"/>
      <c r="G542" s="8"/>
      <c r="H542" s="8"/>
    </row>
    <row r="543" spans="6:8" ht="15.75" customHeight="1" x14ac:dyDescent="0.25">
      <c r="F543" s="8"/>
      <c r="G543" s="8"/>
      <c r="H543" s="8"/>
    </row>
    <row r="544" spans="6:8" ht="15.75" customHeight="1" x14ac:dyDescent="0.25">
      <c r="F544" s="8"/>
      <c r="G544" s="8"/>
      <c r="H544" s="8"/>
    </row>
    <row r="545" spans="6:8" ht="15.75" customHeight="1" x14ac:dyDescent="0.25">
      <c r="F545" s="8"/>
      <c r="G545" s="8"/>
      <c r="H545" s="8"/>
    </row>
    <row r="546" spans="6:8" ht="15.75" customHeight="1" x14ac:dyDescent="0.25">
      <c r="F546" s="8"/>
      <c r="G546" s="8"/>
      <c r="H546" s="8"/>
    </row>
    <row r="547" spans="6:8" ht="15.75" customHeight="1" x14ac:dyDescent="0.25">
      <c r="F547" s="8"/>
      <c r="G547" s="8"/>
      <c r="H547" s="8"/>
    </row>
    <row r="548" spans="6:8" ht="15.75" customHeight="1" x14ac:dyDescent="0.25">
      <c r="F548" s="8"/>
      <c r="G548" s="8"/>
      <c r="H548" s="8"/>
    </row>
    <row r="549" spans="6:8" ht="15.75" customHeight="1" x14ac:dyDescent="0.25">
      <c r="F549" s="8"/>
      <c r="G549" s="8"/>
      <c r="H549" s="8"/>
    </row>
    <row r="550" spans="6:8" ht="15.75" customHeight="1" x14ac:dyDescent="0.25">
      <c r="F550" s="8"/>
      <c r="G550" s="8"/>
      <c r="H550" s="8"/>
    </row>
    <row r="551" spans="6:8" ht="15.75" customHeight="1" x14ac:dyDescent="0.25">
      <c r="F551" s="8"/>
      <c r="G551" s="8"/>
      <c r="H551" s="8"/>
    </row>
    <row r="552" spans="6:8" ht="15.75" customHeight="1" x14ac:dyDescent="0.25">
      <c r="F552" s="8"/>
      <c r="G552" s="8"/>
      <c r="H552" s="8"/>
    </row>
    <row r="553" spans="6:8" ht="15.75" customHeight="1" x14ac:dyDescent="0.25">
      <c r="F553" s="8"/>
      <c r="G553" s="8"/>
      <c r="H553" s="8"/>
    </row>
    <row r="554" spans="6:8" ht="15.75" customHeight="1" x14ac:dyDescent="0.25">
      <c r="F554" s="8"/>
      <c r="G554" s="8"/>
      <c r="H554" s="8"/>
    </row>
    <row r="555" spans="6:8" ht="15.75" customHeight="1" x14ac:dyDescent="0.25">
      <c r="F555" s="8"/>
      <c r="G555" s="8"/>
      <c r="H555" s="8"/>
    </row>
    <row r="556" spans="6:8" ht="15.75" customHeight="1" x14ac:dyDescent="0.25">
      <c r="F556" s="8"/>
      <c r="G556" s="8"/>
      <c r="H556" s="8"/>
    </row>
    <row r="557" spans="6:8" ht="15.75" customHeight="1" x14ac:dyDescent="0.25">
      <c r="F557" s="8"/>
      <c r="G557" s="8"/>
      <c r="H557" s="8"/>
    </row>
    <row r="558" spans="6:8" ht="15.75" customHeight="1" x14ac:dyDescent="0.25">
      <c r="F558" s="8"/>
      <c r="G558" s="8"/>
      <c r="H558" s="8"/>
    </row>
    <row r="559" spans="6:8" ht="15.75" customHeight="1" x14ac:dyDescent="0.25">
      <c r="F559" s="8"/>
      <c r="G559" s="8"/>
      <c r="H559" s="8"/>
    </row>
    <row r="560" spans="6:8" ht="15.75" customHeight="1" x14ac:dyDescent="0.25">
      <c r="F560" s="8"/>
      <c r="G560" s="8"/>
      <c r="H560" s="8"/>
    </row>
    <row r="561" spans="6:8" ht="15.75" customHeight="1" x14ac:dyDescent="0.25">
      <c r="F561" s="8"/>
      <c r="G561" s="8"/>
      <c r="H561" s="8"/>
    </row>
    <row r="562" spans="6:8" ht="15.75" customHeight="1" x14ac:dyDescent="0.25">
      <c r="F562" s="8"/>
      <c r="G562" s="8"/>
      <c r="H562" s="8"/>
    </row>
    <row r="563" spans="6:8" ht="15.75" customHeight="1" x14ac:dyDescent="0.25">
      <c r="F563" s="8"/>
      <c r="G563" s="8"/>
      <c r="H563" s="8"/>
    </row>
    <row r="564" spans="6:8" ht="15.75" customHeight="1" x14ac:dyDescent="0.25">
      <c r="F564" s="8"/>
      <c r="G564" s="8"/>
      <c r="H564" s="8"/>
    </row>
    <row r="565" spans="6:8" ht="15.75" customHeight="1" x14ac:dyDescent="0.25">
      <c r="F565" s="8"/>
      <c r="G565" s="8"/>
      <c r="H565" s="8"/>
    </row>
    <row r="566" spans="6:8" ht="15.75" customHeight="1" x14ac:dyDescent="0.25">
      <c r="F566" s="8"/>
      <c r="G566" s="8"/>
      <c r="H566" s="8"/>
    </row>
    <row r="567" spans="6:8" ht="15.75" customHeight="1" x14ac:dyDescent="0.25">
      <c r="F567" s="8"/>
      <c r="G567" s="8"/>
      <c r="H567" s="8"/>
    </row>
    <row r="568" spans="6:8" ht="15.75" customHeight="1" x14ac:dyDescent="0.25">
      <c r="F568" s="8"/>
      <c r="G568" s="8"/>
      <c r="H568" s="8"/>
    </row>
    <row r="569" spans="6:8" ht="15.75" customHeight="1" x14ac:dyDescent="0.25">
      <c r="F569" s="8"/>
      <c r="G569" s="8"/>
      <c r="H569" s="8"/>
    </row>
    <row r="570" spans="6:8" ht="15.75" customHeight="1" x14ac:dyDescent="0.25">
      <c r="F570" s="8"/>
      <c r="G570" s="8"/>
      <c r="H570" s="8"/>
    </row>
    <row r="571" spans="6:8" ht="15.75" customHeight="1" x14ac:dyDescent="0.25">
      <c r="F571" s="8"/>
      <c r="G571" s="8"/>
      <c r="H571" s="8"/>
    </row>
    <row r="572" spans="6:8" ht="15.75" customHeight="1" x14ac:dyDescent="0.25">
      <c r="F572" s="8"/>
      <c r="G572" s="8"/>
      <c r="H572" s="8"/>
    </row>
    <row r="573" spans="6:8" ht="15.75" customHeight="1" x14ac:dyDescent="0.25">
      <c r="F573" s="8"/>
      <c r="G573" s="8"/>
      <c r="H573" s="8"/>
    </row>
    <row r="574" spans="6:8" ht="15.75" customHeight="1" x14ac:dyDescent="0.25">
      <c r="F574" s="8"/>
      <c r="G574" s="8"/>
      <c r="H574" s="8"/>
    </row>
    <row r="575" spans="6:8" ht="15.75" customHeight="1" x14ac:dyDescent="0.25">
      <c r="F575" s="8"/>
      <c r="G575" s="8"/>
      <c r="H575" s="8"/>
    </row>
    <row r="576" spans="6:8" ht="15.75" customHeight="1" x14ac:dyDescent="0.25">
      <c r="F576" s="8"/>
      <c r="G576" s="8"/>
      <c r="H576" s="8"/>
    </row>
    <row r="577" spans="6:8" ht="15.75" customHeight="1" x14ac:dyDescent="0.25">
      <c r="F577" s="8"/>
      <c r="G577" s="8"/>
      <c r="H577" s="8"/>
    </row>
    <row r="578" spans="6:8" ht="15.75" customHeight="1" x14ac:dyDescent="0.25">
      <c r="F578" s="8"/>
      <c r="G578" s="8"/>
      <c r="H578" s="8"/>
    </row>
    <row r="579" spans="6:8" ht="15.75" customHeight="1" x14ac:dyDescent="0.25">
      <c r="F579" s="8"/>
      <c r="G579" s="8"/>
      <c r="H579" s="8"/>
    </row>
    <row r="580" spans="6:8" ht="15.75" customHeight="1" x14ac:dyDescent="0.25">
      <c r="F580" s="8"/>
      <c r="G580" s="8"/>
      <c r="H580" s="8"/>
    </row>
    <row r="581" spans="6:8" ht="15.75" customHeight="1" x14ac:dyDescent="0.25">
      <c r="F581" s="8"/>
      <c r="G581" s="8"/>
      <c r="H581" s="8"/>
    </row>
    <row r="582" spans="6:8" ht="15.75" customHeight="1" x14ac:dyDescent="0.25">
      <c r="F582" s="8"/>
      <c r="G582" s="8"/>
      <c r="H582" s="8"/>
    </row>
    <row r="583" spans="6:8" ht="15.75" customHeight="1" x14ac:dyDescent="0.25">
      <c r="F583" s="8"/>
      <c r="G583" s="8"/>
      <c r="H583" s="8"/>
    </row>
    <row r="584" spans="6:8" ht="15.75" customHeight="1" x14ac:dyDescent="0.25">
      <c r="F584" s="8"/>
      <c r="G584" s="8"/>
      <c r="H584" s="8"/>
    </row>
    <row r="585" spans="6:8" ht="15.75" customHeight="1" x14ac:dyDescent="0.25">
      <c r="F585" s="8"/>
      <c r="G585" s="8"/>
      <c r="H585" s="8"/>
    </row>
    <row r="586" spans="6:8" ht="15.75" customHeight="1" x14ac:dyDescent="0.25">
      <c r="F586" s="8"/>
      <c r="G586" s="8"/>
      <c r="H586" s="8"/>
    </row>
    <row r="587" spans="6:8" ht="15.75" customHeight="1" x14ac:dyDescent="0.25">
      <c r="F587" s="8"/>
      <c r="G587" s="8"/>
      <c r="H587" s="8"/>
    </row>
    <row r="588" spans="6:8" ht="15.75" customHeight="1" x14ac:dyDescent="0.25">
      <c r="F588" s="8"/>
      <c r="G588" s="8"/>
      <c r="H588" s="8"/>
    </row>
    <row r="589" spans="6:8" ht="15.75" customHeight="1" x14ac:dyDescent="0.25">
      <c r="F589" s="8"/>
      <c r="G589" s="8"/>
      <c r="H589" s="8"/>
    </row>
    <row r="590" spans="6:8" ht="15.75" customHeight="1" x14ac:dyDescent="0.25">
      <c r="F590" s="8"/>
      <c r="G590" s="8"/>
      <c r="H590" s="8"/>
    </row>
    <row r="591" spans="6:8" ht="15.75" customHeight="1" x14ac:dyDescent="0.25">
      <c r="F591" s="8"/>
      <c r="G591" s="8"/>
      <c r="H591" s="8"/>
    </row>
    <row r="592" spans="6:8" ht="15.75" customHeight="1" x14ac:dyDescent="0.25">
      <c r="F592" s="8"/>
      <c r="G592" s="8"/>
      <c r="H592" s="8"/>
    </row>
    <row r="593" spans="6:8" ht="15.75" customHeight="1" x14ac:dyDescent="0.25">
      <c r="F593" s="8"/>
      <c r="G593" s="8"/>
      <c r="H593" s="8"/>
    </row>
    <row r="594" spans="6:8" ht="15.75" customHeight="1" x14ac:dyDescent="0.25">
      <c r="F594" s="8"/>
      <c r="G594" s="8"/>
      <c r="H594" s="8"/>
    </row>
    <row r="595" spans="6:8" ht="15.75" customHeight="1" x14ac:dyDescent="0.25">
      <c r="F595" s="8"/>
      <c r="G595" s="8"/>
      <c r="H595" s="8"/>
    </row>
    <row r="596" spans="6:8" ht="15.75" customHeight="1" x14ac:dyDescent="0.25">
      <c r="F596" s="8"/>
      <c r="G596" s="8"/>
      <c r="H596" s="8"/>
    </row>
    <row r="597" spans="6:8" ht="15.75" customHeight="1" x14ac:dyDescent="0.25">
      <c r="F597" s="8"/>
      <c r="G597" s="8"/>
      <c r="H597" s="8"/>
    </row>
    <row r="598" spans="6:8" ht="15.75" customHeight="1" x14ac:dyDescent="0.25">
      <c r="F598" s="8"/>
      <c r="G598" s="8"/>
      <c r="H598" s="8"/>
    </row>
    <row r="599" spans="6:8" ht="15.75" customHeight="1" x14ac:dyDescent="0.25">
      <c r="F599" s="8"/>
      <c r="G599" s="8"/>
      <c r="H599" s="8"/>
    </row>
    <row r="600" spans="6:8" ht="15.75" customHeight="1" x14ac:dyDescent="0.25">
      <c r="F600" s="8"/>
      <c r="G600" s="8"/>
      <c r="H600" s="8"/>
    </row>
    <row r="601" spans="6:8" ht="15.75" customHeight="1" x14ac:dyDescent="0.25">
      <c r="F601" s="8"/>
      <c r="G601" s="8"/>
      <c r="H601" s="8"/>
    </row>
    <row r="602" spans="6:8" ht="15.75" customHeight="1" x14ac:dyDescent="0.25">
      <c r="F602" s="8"/>
      <c r="G602" s="8"/>
      <c r="H602" s="8"/>
    </row>
    <row r="603" spans="6:8" ht="15.75" customHeight="1" x14ac:dyDescent="0.25">
      <c r="F603" s="8"/>
      <c r="G603" s="8"/>
      <c r="H603" s="8"/>
    </row>
    <row r="604" spans="6:8" ht="15.75" customHeight="1" x14ac:dyDescent="0.25">
      <c r="F604" s="8"/>
      <c r="G604" s="8"/>
      <c r="H604" s="8"/>
    </row>
    <row r="605" spans="6:8" ht="15.75" customHeight="1" x14ac:dyDescent="0.25">
      <c r="F605" s="8"/>
      <c r="G605" s="8"/>
      <c r="H605" s="8"/>
    </row>
    <row r="606" spans="6:8" ht="15.75" customHeight="1" x14ac:dyDescent="0.25">
      <c r="F606" s="8"/>
      <c r="G606" s="8"/>
      <c r="H606" s="8"/>
    </row>
    <row r="607" spans="6:8" ht="15.75" customHeight="1" x14ac:dyDescent="0.25">
      <c r="F607" s="8"/>
      <c r="G607" s="8"/>
      <c r="H607" s="8"/>
    </row>
    <row r="608" spans="6:8" ht="15.75" customHeight="1" x14ac:dyDescent="0.25">
      <c r="F608" s="8"/>
      <c r="G608" s="8"/>
      <c r="H608" s="8"/>
    </row>
    <row r="609" spans="6:8" ht="15.75" customHeight="1" x14ac:dyDescent="0.25">
      <c r="F609" s="8"/>
      <c r="G609" s="8"/>
      <c r="H609" s="8"/>
    </row>
    <row r="610" spans="6:8" ht="15.75" customHeight="1" x14ac:dyDescent="0.25">
      <c r="F610" s="8"/>
      <c r="G610" s="8"/>
      <c r="H610" s="8"/>
    </row>
    <row r="611" spans="6:8" ht="15.75" customHeight="1" x14ac:dyDescent="0.25">
      <c r="F611" s="8"/>
      <c r="G611" s="8"/>
      <c r="H611" s="8"/>
    </row>
    <row r="612" spans="6:8" ht="15.75" customHeight="1" x14ac:dyDescent="0.25">
      <c r="F612" s="8"/>
      <c r="G612" s="8"/>
      <c r="H612" s="8"/>
    </row>
    <row r="613" spans="6:8" ht="15.75" customHeight="1" x14ac:dyDescent="0.25">
      <c r="F613" s="8"/>
      <c r="G613" s="8"/>
      <c r="H613" s="8"/>
    </row>
    <row r="614" spans="6:8" ht="15.75" customHeight="1" x14ac:dyDescent="0.25">
      <c r="F614" s="8"/>
      <c r="G614" s="8"/>
      <c r="H614" s="8"/>
    </row>
    <row r="615" spans="6:8" ht="15.75" customHeight="1" x14ac:dyDescent="0.25">
      <c r="F615" s="8"/>
      <c r="G615" s="8"/>
      <c r="H615" s="8"/>
    </row>
    <row r="616" spans="6:8" ht="15.75" customHeight="1" x14ac:dyDescent="0.25">
      <c r="F616" s="8"/>
      <c r="G616" s="8"/>
      <c r="H616" s="8"/>
    </row>
    <row r="617" spans="6:8" ht="15.75" customHeight="1" x14ac:dyDescent="0.25">
      <c r="F617" s="8"/>
      <c r="G617" s="8"/>
      <c r="H617" s="8"/>
    </row>
    <row r="618" spans="6:8" ht="15.75" customHeight="1" x14ac:dyDescent="0.25">
      <c r="F618" s="8"/>
      <c r="G618" s="8"/>
      <c r="H618" s="8"/>
    </row>
    <row r="619" spans="6:8" ht="15.75" customHeight="1" x14ac:dyDescent="0.25">
      <c r="F619" s="8"/>
      <c r="G619" s="8"/>
      <c r="H619" s="8"/>
    </row>
    <row r="620" spans="6:8" ht="15.75" customHeight="1" x14ac:dyDescent="0.25">
      <c r="F620" s="8"/>
      <c r="G620" s="8"/>
      <c r="H620" s="8"/>
    </row>
    <row r="621" spans="6:8" ht="15.75" customHeight="1" x14ac:dyDescent="0.25">
      <c r="F621" s="8"/>
      <c r="G621" s="8"/>
      <c r="H621" s="8"/>
    </row>
    <row r="622" spans="6:8" ht="15.75" customHeight="1" x14ac:dyDescent="0.25">
      <c r="F622" s="8"/>
      <c r="G622" s="8"/>
      <c r="H622" s="8"/>
    </row>
    <row r="623" spans="6:8" ht="15.75" customHeight="1" x14ac:dyDescent="0.25">
      <c r="F623" s="8"/>
      <c r="G623" s="8"/>
      <c r="H623" s="8"/>
    </row>
    <row r="624" spans="6:8" ht="15.75" customHeight="1" x14ac:dyDescent="0.25">
      <c r="F624" s="8"/>
      <c r="G624" s="8"/>
      <c r="H624" s="8"/>
    </row>
    <row r="625" spans="6:8" ht="15.75" customHeight="1" x14ac:dyDescent="0.25">
      <c r="F625" s="8"/>
      <c r="G625" s="8"/>
      <c r="H625" s="8"/>
    </row>
    <row r="626" spans="6:8" ht="15.75" customHeight="1" x14ac:dyDescent="0.25">
      <c r="F626" s="8"/>
      <c r="G626" s="8"/>
      <c r="H626" s="8"/>
    </row>
    <row r="627" spans="6:8" ht="15.75" customHeight="1" x14ac:dyDescent="0.25">
      <c r="F627" s="8"/>
      <c r="G627" s="8"/>
      <c r="H627" s="8"/>
    </row>
    <row r="628" spans="6:8" ht="15.75" customHeight="1" x14ac:dyDescent="0.25">
      <c r="F628" s="8"/>
      <c r="G628" s="8"/>
      <c r="H628" s="8"/>
    </row>
    <row r="629" spans="6:8" ht="15.75" customHeight="1" x14ac:dyDescent="0.25">
      <c r="F629" s="8"/>
      <c r="G629" s="8"/>
      <c r="H629" s="8"/>
    </row>
    <row r="630" spans="6:8" ht="15.75" customHeight="1" x14ac:dyDescent="0.25">
      <c r="F630" s="8"/>
      <c r="G630" s="8"/>
      <c r="H630" s="8"/>
    </row>
    <row r="631" spans="6:8" ht="15.75" customHeight="1" x14ac:dyDescent="0.25">
      <c r="F631" s="8"/>
      <c r="G631" s="8"/>
      <c r="H631" s="8"/>
    </row>
    <row r="632" spans="6:8" ht="15.75" customHeight="1" x14ac:dyDescent="0.25">
      <c r="F632" s="8"/>
      <c r="G632" s="8"/>
      <c r="H632" s="8"/>
    </row>
    <row r="633" spans="6:8" ht="15.75" customHeight="1" x14ac:dyDescent="0.25">
      <c r="F633" s="8"/>
      <c r="G633" s="8"/>
      <c r="H633" s="8"/>
    </row>
    <row r="634" spans="6:8" ht="15.75" customHeight="1" x14ac:dyDescent="0.25">
      <c r="F634" s="8"/>
      <c r="G634" s="8"/>
      <c r="H634" s="8"/>
    </row>
    <row r="635" spans="6:8" ht="15.75" customHeight="1" x14ac:dyDescent="0.25">
      <c r="F635" s="8"/>
      <c r="G635" s="8"/>
      <c r="H635" s="8"/>
    </row>
    <row r="636" spans="6:8" ht="15.75" customHeight="1" x14ac:dyDescent="0.25">
      <c r="F636" s="8"/>
      <c r="G636" s="8"/>
      <c r="H636" s="8"/>
    </row>
    <row r="637" spans="6:8" ht="15.75" customHeight="1" x14ac:dyDescent="0.25">
      <c r="F637" s="8"/>
      <c r="G637" s="8"/>
      <c r="H637" s="8"/>
    </row>
    <row r="638" spans="6:8" ht="15.75" customHeight="1" x14ac:dyDescent="0.25">
      <c r="F638" s="8"/>
      <c r="G638" s="8"/>
      <c r="H638" s="8"/>
    </row>
    <row r="639" spans="6:8" ht="15.75" customHeight="1" x14ac:dyDescent="0.25">
      <c r="F639" s="8"/>
      <c r="G639" s="8"/>
      <c r="H639" s="8"/>
    </row>
    <row r="640" spans="6:8" ht="15.75" customHeight="1" x14ac:dyDescent="0.25">
      <c r="F640" s="8"/>
      <c r="G640" s="8"/>
      <c r="H640" s="8"/>
    </row>
    <row r="641" spans="6:8" ht="15.75" customHeight="1" x14ac:dyDescent="0.25">
      <c r="F641" s="8"/>
      <c r="G641" s="8"/>
      <c r="H641" s="8"/>
    </row>
    <row r="642" spans="6:8" ht="15.75" customHeight="1" x14ac:dyDescent="0.25">
      <c r="F642" s="8"/>
      <c r="G642" s="8"/>
      <c r="H642" s="8"/>
    </row>
    <row r="643" spans="6:8" ht="15.75" customHeight="1" x14ac:dyDescent="0.25">
      <c r="F643" s="8"/>
      <c r="G643" s="8"/>
      <c r="H643" s="8"/>
    </row>
    <row r="644" spans="6:8" ht="15.75" customHeight="1" x14ac:dyDescent="0.25">
      <c r="F644" s="8"/>
      <c r="G644" s="8"/>
      <c r="H644" s="8"/>
    </row>
    <row r="645" spans="6:8" ht="15.75" customHeight="1" x14ac:dyDescent="0.25">
      <c r="F645" s="8"/>
      <c r="G645" s="8"/>
      <c r="H645" s="8"/>
    </row>
    <row r="646" spans="6:8" ht="15.75" customHeight="1" x14ac:dyDescent="0.25">
      <c r="F646" s="8"/>
      <c r="G646" s="8"/>
      <c r="H646" s="8"/>
    </row>
    <row r="647" spans="6:8" ht="15.75" customHeight="1" x14ac:dyDescent="0.25">
      <c r="F647" s="8"/>
      <c r="G647" s="8"/>
      <c r="H647" s="8"/>
    </row>
    <row r="648" spans="6:8" ht="15.75" customHeight="1" x14ac:dyDescent="0.25">
      <c r="F648" s="8"/>
      <c r="G648" s="8"/>
      <c r="H648" s="8"/>
    </row>
    <row r="649" spans="6:8" ht="15.75" customHeight="1" x14ac:dyDescent="0.25">
      <c r="F649" s="8"/>
      <c r="G649" s="8"/>
      <c r="H649" s="8"/>
    </row>
    <row r="650" spans="6:8" ht="15.75" customHeight="1" x14ac:dyDescent="0.25">
      <c r="F650" s="8"/>
      <c r="G650" s="8"/>
      <c r="H650" s="8"/>
    </row>
    <row r="651" spans="6:8" ht="15.75" customHeight="1" x14ac:dyDescent="0.25">
      <c r="F651" s="8"/>
      <c r="G651" s="8"/>
      <c r="H651" s="8"/>
    </row>
    <row r="652" spans="6:8" ht="15.75" customHeight="1" x14ac:dyDescent="0.25">
      <c r="F652" s="8"/>
      <c r="G652" s="8"/>
      <c r="H652" s="8"/>
    </row>
    <row r="653" spans="6:8" ht="15.75" customHeight="1" x14ac:dyDescent="0.25">
      <c r="F653" s="8"/>
      <c r="G653" s="8"/>
      <c r="H653" s="8"/>
    </row>
    <row r="654" spans="6:8" ht="15.75" customHeight="1" x14ac:dyDescent="0.25">
      <c r="F654" s="8"/>
      <c r="G654" s="8"/>
      <c r="H654" s="8"/>
    </row>
    <row r="655" spans="6:8" ht="15.75" customHeight="1" x14ac:dyDescent="0.25">
      <c r="F655" s="8"/>
      <c r="G655" s="8"/>
      <c r="H655" s="8"/>
    </row>
    <row r="656" spans="6:8" ht="15.75" customHeight="1" x14ac:dyDescent="0.25">
      <c r="F656" s="8"/>
      <c r="G656" s="8"/>
      <c r="H656" s="8"/>
    </row>
    <row r="657" spans="6:8" ht="15.75" customHeight="1" x14ac:dyDescent="0.25">
      <c r="F657" s="8"/>
      <c r="G657" s="8"/>
      <c r="H657" s="8"/>
    </row>
    <row r="658" spans="6:8" ht="15.75" customHeight="1" x14ac:dyDescent="0.25">
      <c r="F658" s="8"/>
      <c r="G658" s="8"/>
      <c r="H658" s="8"/>
    </row>
    <row r="659" spans="6:8" ht="15.75" customHeight="1" x14ac:dyDescent="0.25">
      <c r="F659" s="8"/>
      <c r="G659" s="8"/>
      <c r="H659" s="8"/>
    </row>
    <row r="660" spans="6:8" ht="15.75" customHeight="1" x14ac:dyDescent="0.25">
      <c r="F660" s="8"/>
      <c r="G660" s="8"/>
      <c r="H660" s="8"/>
    </row>
    <row r="661" spans="6:8" ht="15.75" customHeight="1" x14ac:dyDescent="0.25">
      <c r="F661" s="8"/>
      <c r="G661" s="8"/>
      <c r="H661" s="8"/>
    </row>
    <row r="662" spans="6:8" ht="15.75" customHeight="1" x14ac:dyDescent="0.25">
      <c r="F662" s="8"/>
      <c r="G662" s="8"/>
      <c r="H662" s="8"/>
    </row>
    <row r="663" spans="6:8" ht="15.75" customHeight="1" x14ac:dyDescent="0.25">
      <c r="F663" s="8"/>
      <c r="G663" s="8"/>
      <c r="H663" s="8"/>
    </row>
    <row r="664" spans="6:8" ht="15.75" customHeight="1" x14ac:dyDescent="0.25">
      <c r="F664" s="8"/>
      <c r="G664" s="8"/>
      <c r="H664" s="8"/>
    </row>
    <row r="665" spans="6:8" ht="15.75" customHeight="1" x14ac:dyDescent="0.25">
      <c r="F665" s="8"/>
      <c r="G665" s="8"/>
      <c r="H665" s="8"/>
    </row>
    <row r="666" spans="6:8" ht="15.75" customHeight="1" x14ac:dyDescent="0.25">
      <c r="F666" s="8"/>
      <c r="G666" s="8"/>
      <c r="H666" s="8"/>
    </row>
    <row r="667" spans="6:8" ht="15.75" customHeight="1" x14ac:dyDescent="0.25">
      <c r="F667" s="8"/>
      <c r="G667" s="8"/>
      <c r="H667" s="8"/>
    </row>
    <row r="668" spans="6:8" ht="15.75" customHeight="1" x14ac:dyDescent="0.25">
      <c r="F668" s="8"/>
      <c r="G668" s="8"/>
      <c r="H668" s="8"/>
    </row>
    <row r="669" spans="6:8" ht="15.75" customHeight="1" x14ac:dyDescent="0.25">
      <c r="F669" s="8"/>
      <c r="G669" s="8"/>
      <c r="H669" s="8"/>
    </row>
    <row r="670" spans="6:8" ht="15.75" customHeight="1" x14ac:dyDescent="0.25">
      <c r="F670" s="8"/>
      <c r="G670" s="8"/>
      <c r="H670" s="8"/>
    </row>
    <row r="671" spans="6:8" ht="15.75" customHeight="1" x14ac:dyDescent="0.25">
      <c r="F671" s="8"/>
      <c r="G671" s="8"/>
      <c r="H671" s="8"/>
    </row>
    <row r="672" spans="6:8" ht="15.75" customHeight="1" x14ac:dyDescent="0.25">
      <c r="F672" s="8"/>
      <c r="G672" s="8"/>
      <c r="H672" s="8"/>
    </row>
    <row r="673" spans="6:8" ht="15.75" customHeight="1" x14ac:dyDescent="0.25">
      <c r="F673" s="8"/>
      <c r="G673" s="8"/>
      <c r="H673" s="8"/>
    </row>
    <row r="674" spans="6:8" ht="15.75" customHeight="1" x14ac:dyDescent="0.25">
      <c r="F674" s="8"/>
      <c r="G674" s="8"/>
      <c r="H674" s="8"/>
    </row>
    <row r="675" spans="6:8" ht="15.75" customHeight="1" x14ac:dyDescent="0.25">
      <c r="F675" s="8"/>
      <c r="G675" s="8"/>
      <c r="H675" s="8"/>
    </row>
    <row r="676" spans="6:8" ht="15.75" customHeight="1" x14ac:dyDescent="0.25">
      <c r="F676" s="8"/>
      <c r="G676" s="8"/>
      <c r="H676" s="8"/>
    </row>
    <row r="677" spans="6:8" ht="15.75" customHeight="1" x14ac:dyDescent="0.25">
      <c r="F677" s="8"/>
      <c r="G677" s="8"/>
      <c r="H677" s="8"/>
    </row>
    <row r="678" spans="6:8" ht="15.75" customHeight="1" x14ac:dyDescent="0.25">
      <c r="F678" s="8"/>
      <c r="G678" s="8"/>
      <c r="H678" s="8"/>
    </row>
    <row r="679" spans="6:8" ht="15.75" customHeight="1" x14ac:dyDescent="0.25">
      <c r="F679" s="8"/>
      <c r="G679" s="8"/>
      <c r="H679" s="8"/>
    </row>
    <row r="680" spans="6:8" ht="15.75" customHeight="1" x14ac:dyDescent="0.25">
      <c r="F680" s="8"/>
      <c r="G680" s="8"/>
      <c r="H680" s="8"/>
    </row>
    <row r="681" spans="6:8" ht="15.75" customHeight="1" x14ac:dyDescent="0.25">
      <c r="F681" s="8"/>
      <c r="G681" s="8"/>
      <c r="H681" s="8"/>
    </row>
    <row r="682" spans="6:8" ht="15.75" customHeight="1" x14ac:dyDescent="0.25">
      <c r="F682" s="8"/>
      <c r="G682" s="8"/>
      <c r="H682" s="8"/>
    </row>
    <row r="683" spans="6:8" ht="15.75" customHeight="1" x14ac:dyDescent="0.25">
      <c r="F683" s="8"/>
      <c r="G683" s="8"/>
      <c r="H683" s="8"/>
    </row>
    <row r="684" spans="6:8" ht="15.75" customHeight="1" x14ac:dyDescent="0.25">
      <c r="F684" s="8"/>
      <c r="G684" s="8"/>
      <c r="H684" s="8"/>
    </row>
    <row r="685" spans="6:8" ht="15.75" customHeight="1" x14ac:dyDescent="0.25">
      <c r="F685" s="8"/>
      <c r="G685" s="8"/>
      <c r="H685" s="8"/>
    </row>
    <row r="686" spans="6:8" ht="15.75" customHeight="1" x14ac:dyDescent="0.25">
      <c r="F686" s="8"/>
      <c r="G686" s="8"/>
      <c r="H686" s="8"/>
    </row>
    <row r="687" spans="6:8" ht="15.75" customHeight="1" x14ac:dyDescent="0.25">
      <c r="F687" s="8"/>
      <c r="G687" s="8"/>
      <c r="H687" s="8"/>
    </row>
    <row r="688" spans="6:8" ht="15.75" customHeight="1" x14ac:dyDescent="0.25">
      <c r="F688" s="8"/>
      <c r="G688" s="8"/>
      <c r="H688" s="8"/>
    </row>
    <row r="689" spans="6:8" ht="15.75" customHeight="1" x14ac:dyDescent="0.25">
      <c r="F689" s="8"/>
      <c r="G689" s="8"/>
      <c r="H689" s="8"/>
    </row>
    <row r="690" spans="6:8" ht="15.75" customHeight="1" x14ac:dyDescent="0.25">
      <c r="F690" s="8"/>
      <c r="G690" s="8"/>
      <c r="H690" s="8"/>
    </row>
    <row r="691" spans="6:8" ht="15.75" customHeight="1" x14ac:dyDescent="0.25">
      <c r="F691" s="8"/>
      <c r="G691" s="8"/>
      <c r="H691" s="8"/>
    </row>
    <row r="692" spans="6:8" ht="15.75" customHeight="1" x14ac:dyDescent="0.25">
      <c r="F692" s="8"/>
      <c r="G692" s="8"/>
      <c r="H692" s="8"/>
    </row>
    <row r="693" spans="6:8" ht="15.75" customHeight="1" x14ac:dyDescent="0.25">
      <c r="F693" s="8"/>
      <c r="G693" s="8"/>
      <c r="H693" s="8"/>
    </row>
    <row r="694" spans="6:8" ht="15.75" customHeight="1" x14ac:dyDescent="0.25">
      <c r="F694" s="8"/>
      <c r="G694" s="8"/>
      <c r="H694" s="8"/>
    </row>
    <row r="695" spans="6:8" ht="15.75" customHeight="1" x14ac:dyDescent="0.25">
      <c r="F695" s="8"/>
      <c r="G695" s="8"/>
      <c r="H695" s="8"/>
    </row>
    <row r="696" spans="6:8" ht="15.75" customHeight="1" x14ac:dyDescent="0.25">
      <c r="F696" s="8"/>
      <c r="G696" s="8"/>
      <c r="H696" s="8"/>
    </row>
    <row r="697" spans="6:8" ht="15.75" customHeight="1" x14ac:dyDescent="0.25">
      <c r="F697" s="8"/>
      <c r="G697" s="8"/>
      <c r="H697" s="8"/>
    </row>
    <row r="698" spans="6:8" ht="15.75" customHeight="1" x14ac:dyDescent="0.25">
      <c r="F698" s="8"/>
      <c r="G698" s="8"/>
      <c r="H698" s="8"/>
    </row>
    <row r="699" spans="6:8" ht="15.75" customHeight="1" x14ac:dyDescent="0.25">
      <c r="F699" s="8"/>
      <c r="G699" s="8"/>
      <c r="H699" s="8"/>
    </row>
    <row r="700" spans="6:8" ht="15.75" customHeight="1" x14ac:dyDescent="0.25">
      <c r="F700" s="8"/>
      <c r="G700" s="8"/>
      <c r="H700" s="8"/>
    </row>
    <row r="701" spans="6:8" ht="15.75" customHeight="1" x14ac:dyDescent="0.25">
      <c r="F701" s="8"/>
      <c r="G701" s="8"/>
      <c r="H701" s="8"/>
    </row>
    <row r="702" spans="6:8" ht="15.75" customHeight="1" x14ac:dyDescent="0.25">
      <c r="F702" s="8"/>
      <c r="G702" s="8"/>
      <c r="H702" s="8"/>
    </row>
    <row r="703" spans="6:8" ht="15.75" customHeight="1" x14ac:dyDescent="0.25">
      <c r="F703" s="8"/>
      <c r="G703" s="8"/>
      <c r="H703" s="8"/>
    </row>
    <row r="704" spans="6:8" ht="15.75" customHeight="1" x14ac:dyDescent="0.25">
      <c r="F704" s="8"/>
      <c r="G704" s="8"/>
      <c r="H704" s="8"/>
    </row>
    <row r="705" spans="6:8" ht="15.75" customHeight="1" x14ac:dyDescent="0.25">
      <c r="F705" s="8"/>
      <c r="G705" s="8"/>
      <c r="H705" s="8"/>
    </row>
    <row r="706" spans="6:8" ht="15.75" customHeight="1" x14ac:dyDescent="0.25">
      <c r="F706" s="8"/>
      <c r="G706" s="8"/>
      <c r="H706" s="8"/>
    </row>
    <row r="707" spans="6:8" ht="15.75" customHeight="1" x14ac:dyDescent="0.25">
      <c r="F707" s="8"/>
      <c r="G707" s="8"/>
      <c r="H707" s="8"/>
    </row>
    <row r="708" spans="6:8" ht="15.75" customHeight="1" x14ac:dyDescent="0.25">
      <c r="F708" s="8"/>
      <c r="G708" s="8"/>
      <c r="H708" s="8"/>
    </row>
    <row r="709" spans="6:8" ht="15.75" customHeight="1" x14ac:dyDescent="0.25">
      <c r="F709" s="8"/>
      <c r="G709" s="8"/>
      <c r="H709" s="8"/>
    </row>
    <row r="710" spans="6:8" ht="15.75" customHeight="1" x14ac:dyDescent="0.25">
      <c r="F710" s="8"/>
      <c r="G710" s="8"/>
      <c r="H710" s="8"/>
    </row>
    <row r="711" spans="6:8" ht="15.75" customHeight="1" x14ac:dyDescent="0.25">
      <c r="F711" s="8"/>
      <c r="G711" s="8"/>
      <c r="H711" s="8"/>
    </row>
    <row r="712" spans="6:8" ht="15.75" customHeight="1" x14ac:dyDescent="0.25">
      <c r="F712" s="8"/>
      <c r="G712" s="8"/>
      <c r="H712" s="8"/>
    </row>
    <row r="713" spans="6:8" ht="15.75" customHeight="1" x14ac:dyDescent="0.25">
      <c r="F713" s="8"/>
      <c r="G713" s="8"/>
      <c r="H713" s="8"/>
    </row>
    <row r="714" spans="6:8" ht="15.75" customHeight="1" x14ac:dyDescent="0.25">
      <c r="F714" s="8"/>
      <c r="G714" s="8"/>
      <c r="H714" s="8"/>
    </row>
    <row r="715" spans="6:8" ht="15.75" customHeight="1" x14ac:dyDescent="0.25">
      <c r="F715" s="8"/>
      <c r="G715" s="8"/>
      <c r="H715" s="8"/>
    </row>
    <row r="716" spans="6:8" ht="15.75" customHeight="1" x14ac:dyDescent="0.25">
      <c r="F716" s="8"/>
      <c r="G716" s="8"/>
      <c r="H716" s="8"/>
    </row>
    <row r="717" spans="6:8" ht="15.75" customHeight="1" x14ac:dyDescent="0.25">
      <c r="F717" s="8"/>
      <c r="G717" s="8"/>
      <c r="H717" s="8"/>
    </row>
    <row r="718" spans="6:8" ht="15.75" customHeight="1" x14ac:dyDescent="0.25">
      <c r="F718" s="8"/>
      <c r="G718" s="8"/>
      <c r="H718" s="8"/>
    </row>
    <row r="719" spans="6:8" ht="15.75" customHeight="1" x14ac:dyDescent="0.25">
      <c r="F719" s="8"/>
      <c r="G719" s="8"/>
      <c r="H719" s="8"/>
    </row>
    <row r="720" spans="6:8" ht="15.75" customHeight="1" x14ac:dyDescent="0.25">
      <c r="F720" s="8"/>
      <c r="G720" s="8"/>
      <c r="H720" s="8"/>
    </row>
    <row r="721" spans="6:8" ht="15.75" customHeight="1" x14ac:dyDescent="0.25">
      <c r="F721" s="8"/>
      <c r="G721" s="8"/>
      <c r="H721" s="8"/>
    </row>
    <row r="722" spans="6:8" ht="15.75" customHeight="1" x14ac:dyDescent="0.25">
      <c r="F722" s="8"/>
      <c r="G722" s="8"/>
      <c r="H722" s="8"/>
    </row>
    <row r="723" spans="6:8" ht="15.75" customHeight="1" x14ac:dyDescent="0.25">
      <c r="F723" s="8"/>
      <c r="G723" s="8"/>
      <c r="H723" s="8"/>
    </row>
    <row r="724" spans="6:8" ht="15.75" customHeight="1" x14ac:dyDescent="0.25">
      <c r="F724" s="8"/>
      <c r="G724" s="8"/>
      <c r="H724" s="8"/>
    </row>
    <row r="725" spans="6:8" ht="15.75" customHeight="1" x14ac:dyDescent="0.25">
      <c r="F725" s="8"/>
      <c r="G725" s="8"/>
      <c r="H725" s="8"/>
    </row>
    <row r="726" spans="6:8" ht="15.75" customHeight="1" x14ac:dyDescent="0.25">
      <c r="F726" s="8"/>
      <c r="G726" s="8"/>
      <c r="H726" s="8"/>
    </row>
    <row r="727" spans="6:8" ht="15.75" customHeight="1" x14ac:dyDescent="0.25">
      <c r="F727" s="8"/>
      <c r="G727" s="8"/>
      <c r="H727" s="8"/>
    </row>
    <row r="728" spans="6:8" ht="15.75" customHeight="1" x14ac:dyDescent="0.25">
      <c r="F728" s="8"/>
      <c r="G728" s="8"/>
      <c r="H728" s="8"/>
    </row>
    <row r="729" spans="6:8" ht="15.75" customHeight="1" x14ac:dyDescent="0.25">
      <c r="F729" s="8"/>
      <c r="G729" s="8"/>
      <c r="H729" s="8"/>
    </row>
    <row r="730" spans="6:8" ht="15.75" customHeight="1" x14ac:dyDescent="0.25">
      <c r="F730" s="8"/>
      <c r="G730" s="8"/>
      <c r="H730" s="8"/>
    </row>
    <row r="731" spans="6:8" ht="15.75" customHeight="1" x14ac:dyDescent="0.25">
      <c r="F731" s="8"/>
      <c r="G731" s="8"/>
      <c r="H731" s="8"/>
    </row>
    <row r="732" spans="6:8" ht="15.75" customHeight="1" x14ac:dyDescent="0.25">
      <c r="F732" s="8"/>
      <c r="G732" s="8"/>
      <c r="H732" s="8"/>
    </row>
    <row r="733" spans="6:8" ht="15.75" customHeight="1" x14ac:dyDescent="0.25">
      <c r="F733" s="8"/>
      <c r="G733" s="8"/>
      <c r="H733" s="8"/>
    </row>
    <row r="734" spans="6:8" ht="15.75" customHeight="1" x14ac:dyDescent="0.25">
      <c r="F734" s="8"/>
      <c r="G734" s="8"/>
      <c r="H734" s="8"/>
    </row>
    <row r="735" spans="6:8" ht="15.75" customHeight="1" x14ac:dyDescent="0.25">
      <c r="F735" s="8"/>
      <c r="G735" s="8"/>
      <c r="H735" s="8"/>
    </row>
    <row r="736" spans="6:8" ht="15.75" customHeight="1" x14ac:dyDescent="0.25">
      <c r="F736" s="8"/>
      <c r="G736" s="8"/>
      <c r="H736" s="8"/>
    </row>
    <row r="737" spans="6:8" ht="15.75" customHeight="1" x14ac:dyDescent="0.25">
      <c r="F737" s="8"/>
      <c r="G737" s="8"/>
      <c r="H737" s="8"/>
    </row>
    <row r="738" spans="6:8" ht="15.75" customHeight="1" x14ac:dyDescent="0.25">
      <c r="F738" s="8"/>
      <c r="G738" s="8"/>
      <c r="H738" s="8"/>
    </row>
    <row r="739" spans="6:8" ht="15.75" customHeight="1" x14ac:dyDescent="0.25">
      <c r="F739" s="8"/>
      <c r="G739" s="8"/>
      <c r="H739" s="8"/>
    </row>
    <row r="740" spans="6:8" ht="15.75" customHeight="1" x14ac:dyDescent="0.25">
      <c r="F740" s="8"/>
      <c r="G740" s="8"/>
      <c r="H740" s="8"/>
    </row>
    <row r="741" spans="6:8" ht="15.75" customHeight="1" x14ac:dyDescent="0.25">
      <c r="F741" s="8"/>
      <c r="G741" s="8"/>
      <c r="H741" s="8"/>
    </row>
    <row r="742" spans="6:8" ht="15.75" customHeight="1" x14ac:dyDescent="0.25">
      <c r="F742" s="8"/>
      <c r="G742" s="8"/>
      <c r="H742" s="8"/>
    </row>
    <row r="743" spans="6:8" ht="15.75" customHeight="1" x14ac:dyDescent="0.25">
      <c r="F743" s="8"/>
      <c r="G743" s="8"/>
      <c r="H743" s="8"/>
    </row>
    <row r="744" spans="6:8" ht="15.75" customHeight="1" x14ac:dyDescent="0.25">
      <c r="F744" s="8"/>
      <c r="G744" s="8"/>
      <c r="H744" s="8"/>
    </row>
    <row r="745" spans="6:8" ht="15.75" customHeight="1" x14ac:dyDescent="0.25">
      <c r="F745" s="8"/>
      <c r="G745" s="8"/>
      <c r="H745" s="8"/>
    </row>
    <row r="746" spans="6:8" ht="15.75" customHeight="1" x14ac:dyDescent="0.25">
      <c r="F746" s="8"/>
      <c r="G746" s="8"/>
      <c r="H746" s="8"/>
    </row>
    <row r="747" spans="6:8" ht="15.75" customHeight="1" x14ac:dyDescent="0.25">
      <c r="F747" s="8"/>
      <c r="G747" s="8"/>
      <c r="H747" s="8"/>
    </row>
    <row r="748" spans="6:8" ht="15.75" customHeight="1" x14ac:dyDescent="0.25">
      <c r="F748" s="8"/>
      <c r="G748" s="8"/>
      <c r="H748" s="8"/>
    </row>
    <row r="749" spans="6:8" ht="15.75" customHeight="1" x14ac:dyDescent="0.25">
      <c r="F749" s="8"/>
      <c r="G749" s="8"/>
      <c r="H749" s="8"/>
    </row>
    <row r="750" spans="6:8" ht="15.75" customHeight="1" x14ac:dyDescent="0.25">
      <c r="F750" s="8"/>
      <c r="G750" s="8"/>
      <c r="H750" s="8"/>
    </row>
    <row r="751" spans="6:8" ht="15.75" customHeight="1" x14ac:dyDescent="0.25">
      <c r="F751" s="8"/>
      <c r="G751" s="8"/>
      <c r="H751" s="8"/>
    </row>
    <row r="752" spans="6:8" ht="15.75" customHeight="1" x14ac:dyDescent="0.25">
      <c r="F752" s="8"/>
      <c r="G752" s="8"/>
      <c r="H752" s="8"/>
    </row>
    <row r="753" spans="6:8" ht="15.75" customHeight="1" x14ac:dyDescent="0.25">
      <c r="F753" s="8"/>
      <c r="G753" s="8"/>
      <c r="H753" s="8"/>
    </row>
    <row r="754" spans="6:8" ht="15.75" customHeight="1" x14ac:dyDescent="0.25">
      <c r="F754" s="8"/>
      <c r="G754" s="8"/>
      <c r="H754" s="8"/>
    </row>
    <row r="755" spans="6:8" ht="15.75" customHeight="1" x14ac:dyDescent="0.25">
      <c r="F755" s="8"/>
      <c r="G755" s="8"/>
      <c r="H755" s="8"/>
    </row>
    <row r="756" spans="6:8" ht="15.75" customHeight="1" x14ac:dyDescent="0.25">
      <c r="F756" s="8"/>
      <c r="G756" s="8"/>
      <c r="H756" s="8"/>
    </row>
    <row r="757" spans="6:8" ht="15.75" customHeight="1" x14ac:dyDescent="0.25">
      <c r="F757" s="8"/>
      <c r="G757" s="8"/>
      <c r="H757" s="8"/>
    </row>
    <row r="758" spans="6:8" ht="15.75" customHeight="1" x14ac:dyDescent="0.25">
      <c r="F758" s="8"/>
      <c r="G758" s="8"/>
      <c r="H758" s="8"/>
    </row>
    <row r="759" spans="6:8" ht="15.75" customHeight="1" x14ac:dyDescent="0.25">
      <c r="F759" s="8"/>
      <c r="G759" s="8"/>
      <c r="H759" s="8"/>
    </row>
    <row r="760" spans="6:8" ht="15.75" customHeight="1" x14ac:dyDescent="0.25">
      <c r="F760" s="8"/>
      <c r="G760" s="8"/>
      <c r="H760" s="8"/>
    </row>
    <row r="761" spans="6:8" ht="15.75" customHeight="1" x14ac:dyDescent="0.25">
      <c r="F761" s="8"/>
      <c r="G761" s="8"/>
      <c r="H761" s="8"/>
    </row>
    <row r="762" spans="6:8" ht="15.75" customHeight="1" x14ac:dyDescent="0.25">
      <c r="F762" s="8"/>
      <c r="G762" s="8"/>
      <c r="H762" s="8"/>
    </row>
    <row r="763" spans="6:8" ht="15.75" customHeight="1" x14ac:dyDescent="0.25">
      <c r="F763" s="8"/>
      <c r="G763" s="8"/>
      <c r="H763" s="8"/>
    </row>
    <row r="764" spans="6:8" ht="15.75" customHeight="1" x14ac:dyDescent="0.25">
      <c r="F764" s="8"/>
      <c r="G764" s="8"/>
      <c r="H764" s="8"/>
    </row>
    <row r="765" spans="6:8" ht="15.75" customHeight="1" x14ac:dyDescent="0.25">
      <c r="F765" s="8"/>
      <c r="G765" s="8"/>
      <c r="H765" s="8"/>
    </row>
    <row r="766" spans="6:8" ht="15.75" customHeight="1" x14ac:dyDescent="0.25">
      <c r="F766" s="8"/>
      <c r="G766" s="8"/>
      <c r="H766" s="8"/>
    </row>
    <row r="767" spans="6:8" ht="15.75" customHeight="1" x14ac:dyDescent="0.25">
      <c r="F767" s="8"/>
      <c r="G767" s="8"/>
      <c r="H767" s="8"/>
    </row>
    <row r="768" spans="6:8" ht="15.75" customHeight="1" x14ac:dyDescent="0.25">
      <c r="F768" s="8"/>
      <c r="G768" s="8"/>
      <c r="H768" s="8"/>
    </row>
    <row r="769" spans="6:8" ht="15.75" customHeight="1" x14ac:dyDescent="0.25">
      <c r="F769" s="8"/>
      <c r="G769" s="8"/>
      <c r="H769" s="8"/>
    </row>
    <row r="770" spans="6:8" ht="15.75" customHeight="1" x14ac:dyDescent="0.25">
      <c r="F770" s="8"/>
      <c r="G770" s="8"/>
      <c r="H770" s="8"/>
    </row>
    <row r="771" spans="6:8" ht="15.75" customHeight="1" x14ac:dyDescent="0.25">
      <c r="F771" s="8"/>
      <c r="G771" s="8"/>
      <c r="H771" s="8"/>
    </row>
    <row r="772" spans="6:8" ht="15.75" customHeight="1" x14ac:dyDescent="0.25">
      <c r="F772" s="8"/>
      <c r="G772" s="8"/>
      <c r="H772" s="8"/>
    </row>
    <row r="773" spans="6:8" ht="15.75" customHeight="1" x14ac:dyDescent="0.25">
      <c r="F773" s="8"/>
      <c r="G773" s="8"/>
      <c r="H773" s="8"/>
    </row>
    <row r="774" spans="6:8" ht="15.75" customHeight="1" x14ac:dyDescent="0.25">
      <c r="F774" s="8"/>
      <c r="G774" s="8"/>
      <c r="H774" s="8"/>
    </row>
    <row r="775" spans="6:8" ht="15.75" customHeight="1" x14ac:dyDescent="0.25">
      <c r="F775" s="8"/>
      <c r="G775" s="8"/>
      <c r="H775" s="8"/>
    </row>
    <row r="776" spans="6:8" ht="15.75" customHeight="1" x14ac:dyDescent="0.25">
      <c r="F776" s="8"/>
      <c r="G776" s="8"/>
      <c r="H776" s="8"/>
    </row>
    <row r="777" spans="6:8" ht="15.75" customHeight="1" x14ac:dyDescent="0.25">
      <c r="F777" s="8"/>
      <c r="G777" s="8"/>
      <c r="H777" s="8"/>
    </row>
    <row r="778" spans="6:8" ht="15.75" customHeight="1" x14ac:dyDescent="0.25">
      <c r="F778" s="8"/>
      <c r="G778" s="8"/>
      <c r="H778" s="8"/>
    </row>
    <row r="779" spans="6:8" ht="15.75" customHeight="1" x14ac:dyDescent="0.25">
      <c r="F779" s="8"/>
      <c r="G779" s="8"/>
      <c r="H779" s="8"/>
    </row>
    <row r="780" spans="6:8" ht="15.75" customHeight="1" x14ac:dyDescent="0.25">
      <c r="F780" s="8"/>
      <c r="G780" s="8"/>
      <c r="H780" s="8"/>
    </row>
    <row r="781" spans="6:8" ht="15.75" customHeight="1" x14ac:dyDescent="0.25">
      <c r="F781" s="8"/>
      <c r="G781" s="8"/>
      <c r="H781" s="8"/>
    </row>
    <row r="782" spans="6:8" ht="15.75" customHeight="1" x14ac:dyDescent="0.25">
      <c r="F782" s="8"/>
      <c r="G782" s="8"/>
      <c r="H782" s="8"/>
    </row>
    <row r="783" spans="6:8" ht="15.75" customHeight="1" x14ac:dyDescent="0.25">
      <c r="F783" s="8"/>
      <c r="G783" s="8"/>
      <c r="H783" s="8"/>
    </row>
    <row r="784" spans="6:8" ht="15.75" customHeight="1" x14ac:dyDescent="0.25">
      <c r="F784" s="8"/>
      <c r="G784" s="8"/>
      <c r="H784" s="8"/>
    </row>
    <row r="785" spans="6:8" ht="15.75" customHeight="1" x14ac:dyDescent="0.25">
      <c r="F785" s="8"/>
      <c r="G785" s="8"/>
      <c r="H785" s="8"/>
    </row>
    <row r="786" spans="6:8" ht="15.75" customHeight="1" x14ac:dyDescent="0.25">
      <c r="F786" s="8"/>
      <c r="G786" s="8"/>
      <c r="H786" s="8"/>
    </row>
    <row r="787" spans="6:8" ht="15.75" customHeight="1" x14ac:dyDescent="0.25">
      <c r="F787" s="8"/>
      <c r="G787" s="8"/>
      <c r="H787" s="8"/>
    </row>
    <row r="788" spans="6:8" ht="15.75" customHeight="1" x14ac:dyDescent="0.25">
      <c r="F788" s="8"/>
      <c r="G788" s="8"/>
      <c r="H788" s="8"/>
    </row>
    <row r="789" spans="6:8" ht="15.75" customHeight="1" x14ac:dyDescent="0.25">
      <c r="F789" s="8"/>
      <c r="G789" s="8"/>
      <c r="H789" s="8"/>
    </row>
    <row r="790" spans="6:8" ht="15.75" customHeight="1" x14ac:dyDescent="0.25">
      <c r="F790" s="8"/>
      <c r="G790" s="8"/>
      <c r="H790" s="8"/>
    </row>
    <row r="791" spans="6:8" ht="15.75" customHeight="1" x14ac:dyDescent="0.25">
      <c r="F791" s="8"/>
      <c r="G791" s="8"/>
      <c r="H791" s="8"/>
    </row>
    <row r="792" spans="6:8" ht="15.75" customHeight="1" x14ac:dyDescent="0.25">
      <c r="F792" s="8"/>
      <c r="G792" s="8"/>
      <c r="H792" s="8"/>
    </row>
    <row r="793" spans="6:8" ht="15.75" customHeight="1" x14ac:dyDescent="0.25">
      <c r="F793" s="8"/>
      <c r="G793" s="8"/>
      <c r="H793" s="8"/>
    </row>
    <row r="794" spans="6:8" ht="15.75" customHeight="1" x14ac:dyDescent="0.25">
      <c r="F794" s="8"/>
      <c r="G794" s="8"/>
      <c r="H794" s="8"/>
    </row>
    <row r="795" spans="6:8" ht="15.75" customHeight="1" x14ac:dyDescent="0.25">
      <c r="F795" s="8"/>
      <c r="G795" s="8"/>
      <c r="H795" s="8"/>
    </row>
    <row r="796" spans="6:8" ht="15.75" customHeight="1" x14ac:dyDescent="0.25">
      <c r="F796" s="8"/>
      <c r="G796" s="8"/>
      <c r="H796" s="8"/>
    </row>
    <row r="797" spans="6:8" ht="15.75" customHeight="1" x14ac:dyDescent="0.25">
      <c r="F797" s="8"/>
      <c r="G797" s="8"/>
      <c r="H797" s="8"/>
    </row>
    <row r="798" spans="6:8" ht="15.75" customHeight="1" x14ac:dyDescent="0.25">
      <c r="F798" s="8"/>
      <c r="G798" s="8"/>
      <c r="H798" s="8"/>
    </row>
    <row r="799" spans="6:8" ht="15.75" customHeight="1" x14ac:dyDescent="0.25">
      <c r="F799" s="8"/>
      <c r="G799" s="8"/>
      <c r="H799" s="8"/>
    </row>
    <row r="800" spans="6:8" ht="15.75" customHeight="1" x14ac:dyDescent="0.25">
      <c r="F800" s="8"/>
      <c r="G800" s="8"/>
      <c r="H800" s="8"/>
    </row>
    <row r="801" spans="6:8" ht="15.75" customHeight="1" x14ac:dyDescent="0.25">
      <c r="F801" s="8"/>
      <c r="G801" s="8"/>
      <c r="H801" s="8"/>
    </row>
    <row r="802" spans="6:8" ht="15.75" customHeight="1" x14ac:dyDescent="0.25">
      <c r="F802" s="8"/>
      <c r="G802" s="8"/>
      <c r="H802" s="8"/>
    </row>
    <row r="803" spans="6:8" ht="15.75" customHeight="1" x14ac:dyDescent="0.25">
      <c r="F803" s="8"/>
      <c r="G803" s="8"/>
      <c r="H803" s="8"/>
    </row>
    <row r="804" spans="6:8" ht="15.75" customHeight="1" x14ac:dyDescent="0.25">
      <c r="F804" s="8"/>
      <c r="G804" s="8"/>
      <c r="H804" s="8"/>
    </row>
    <row r="805" spans="6:8" ht="15.75" customHeight="1" x14ac:dyDescent="0.25">
      <c r="F805" s="8"/>
      <c r="G805" s="8"/>
      <c r="H805" s="8"/>
    </row>
    <row r="806" spans="6:8" ht="15.75" customHeight="1" x14ac:dyDescent="0.25">
      <c r="F806" s="8"/>
      <c r="G806" s="8"/>
      <c r="H806" s="8"/>
    </row>
    <row r="807" spans="6:8" ht="15.75" customHeight="1" x14ac:dyDescent="0.25">
      <c r="F807" s="8"/>
      <c r="G807" s="8"/>
      <c r="H807" s="8"/>
    </row>
    <row r="808" spans="6:8" ht="15.75" customHeight="1" x14ac:dyDescent="0.25">
      <c r="F808" s="8"/>
      <c r="G808" s="8"/>
      <c r="H808" s="8"/>
    </row>
    <row r="809" spans="6:8" ht="15.75" customHeight="1" x14ac:dyDescent="0.25">
      <c r="F809" s="8"/>
      <c r="G809" s="8"/>
      <c r="H809" s="8"/>
    </row>
    <row r="810" spans="6:8" ht="15.75" customHeight="1" x14ac:dyDescent="0.25">
      <c r="F810" s="8"/>
      <c r="G810" s="8"/>
      <c r="H810" s="8"/>
    </row>
    <row r="811" spans="6:8" ht="15.75" customHeight="1" x14ac:dyDescent="0.25">
      <c r="F811" s="8"/>
      <c r="G811" s="8"/>
      <c r="H811" s="8"/>
    </row>
    <row r="812" spans="6:8" ht="15.75" customHeight="1" x14ac:dyDescent="0.25">
      <c r="F812" s="8"/>
      <c r="G812" s="8"/>
      <c r="H812" s="8"/>
    </row>
    <row r="813" spans="6:8" ht="15.75" customHeight="1" x14ac:dyDescent="0.25">
      <c r="F813" s="8"/>
      <c r="G813" s="8"/>
      <c r="H813" s="8"/>
    </row>
    <row r="814" spans="6:8" ht="15.75" customHeight="1" x14ac:dyDescent="0.25">
      <c r="F814" s="8"/>
      <c r="G814" s="8"/>
      <c r="H814" s="8"/>
    </row>
    <row r="815" spans="6:8" ht="15.75" customHeight="1" x14ac:dyDescent="0.25">
      <c r="F815" s="8"/>
      <c r="G815" s="8"/>
      <c r="H815" s="8"/>
    </row>
    <row r="816" spans="6:8" ht="15.75" customHeight="1" x14ac:dyDescent="0.25">
      <c r="F816" s="8"/>
      <c r="G816" s="8"/>
      <c r="H816" s="8"/>
    </row>
    <row r="817" spans="6:8" ht="15.75" customHeight="1" x14ac:dyDescent="0.25">
      <c r="F817" s="8"/>
      <c r="G817" s="8"/>
      <c r="H817" s="8"/>
    </row>
    <row r="818" spans="6:8" ht="15.75" customHeight="1" x14ac:dyDescent="0.25">
      <c r="F818" s="8"/>
      <c r="G818" s="8"/>
      <c r="H818" s="8"/>
    </row>
    <row r="819" spans="6:8" ht="15.75" customHeight="1" x14ac:dyDescent="0.25">
      <c r="F819" s="8"/>
      <c r="G819" s="8"/>
      <c r="H819" s="8"/>
    </row>
    <row r="820" spans="6:8" ht="15.75" customHeight="1" x14ac:dyDescent="0.25">
      <c r="F820" s="8"/>
      <c r="G820" s="8"/>
      <c r="H820" s="8"/>
    </row>
    <row r="821" spans="6:8" ht="15.75" customHeight="1" x14ac:dyDescent="0.25">
      <c r="F821" s="8"/>
      <c r="G821" s="8"/>
      <c r="H821" s="8"/>
    </row>
    <row r="822" spans="6:8" ht="15.75" customHeight="1" x14ac:dyDescent="0.25">
      <c r="F822" s="8"/>
      <c r="G822" s="8"/>
      <c r="H822" s="8"/>
    </row>
    <row r="823" spans="6:8" ht="15.75" customHeight="1" x14ac:dyDescent="0.25">
      <c r="F823" s="8"/>
      <c r="G823" s="8"/>
      <c r="H823" s="8"/>
    </row>
    <row r="824" spans="6:8" ht="15.75" customHeight="1" x14ac:dyDescent="0.25">
      <c r="F824" s="8"/>
      <c r="G824" s="8"/>
      <c r="H824" s="8"/>
    </row>
    <row r="825" spans="6:8" ht="15.75" customHeight="1" x14ac:dyDescent="0.25">
      <c r="F825" s="8"/>
      <c r="G825" s="8"/>
      <c r="H825" s="8"/>
    </row>
    <row r="826" spans="6:8" ht="15.75" customHeight="1" x14ac:dyDescent="0.25">
      <c r="F826" s="8"/>
      <c r="G826" s="8"/>
      <c r="H826" s="8"/>
    </row>
    <row r="827" spans="6:8" ht="15.75" customHeight="1" x14ac:dyDescent="0.25">
      <c r="F827" s="8"/>
      <c r="G827" s="8"/>
      <c r="H827" s="8"/>
    </row>
    <row r="828" spans="6:8" ht="15.75" customHeight="1" x14ac:dyDescent="0.25">
      <c r="F828" s="8"/>
      <c r="G828" s="8"/>
      <c r="H828" s="8"/>
    </row>
    <row r="829" spans="6:8" ht="15.75" customHeight="1" x14ac:dyDescent="0.25">
      <c r="F829" s="8"/>
      <c r="G829" s="8"/>
      <c r="H829" s="8"/>
    </row>
    <row r="830" spans="6:8" ht="15.75" customHeight="1" x14ac:dyDescent="0.25">
      <c r="F830" s="8"/>
      <c r="G830" s="8"/>
      <c r="H830" s="8"/>
    </row>
    <row r="831" spans="6:8" ht="15.75" customHeight="1" x14ac:dyDescent="0.25">
      <c r="F831" s="8"/>
      <c r="G831" s="8"/>
      <c r="H831" s="8"/>
    </row>
    <row r="832" spans="6:8" ht="15.75" customHeight="1" x14ac:dyDescent="0.25">
      <c r="F832" s="8"/>
      <c r="G832" s="8"/>
      <c r="H832" s="8"/>
    </row>
    <row r="833" spans="6:8" ht="15.75" customHeight="1" x14ac:dyDescent="0.25">
      <c r="F833" s="8"/>
      <c r="G833" s="8"/>
      <c r="H833" s="8"/>
    </row>
    <row r="834" spans="6:8" ht="15.75" customHeight="1" x14ac:dyDescent="0.25">
      <c r="F834" s="8"/>
      <c r="G834" s="8"/>
      <c r="H834" s="8"/>
    </row>
    <row r="835" spans="6:8" ht="15.75" customHeight="1" x14ac:dyDescent="0.25">
      <c r="F835" s="8"/>
      <c r="G835" s="8"/>
      <c r="H835" s="8"/>
    </row>
    <row r="836" spans="6:8" ht="15.75" customHeight="1" x14ac:dyDescent="0.25">
      <c r="F836" s="8"/>
      <c r="G836" s="8"/>
      <c r="H836" s="8"/>
    </row>
    <row r="837" spans="6:8" ht="15.75" customHeight="1" x14ac:dyDescent="0.25">
      <c r="F837" s="8"/>
      <c r="G837" s="8"/>
      <c r="H837" s="8"/>
    </row>
    <row r="838" spans="6:8" ht="15.75" customHeight="1" x14ac:dyDescent="0.25">
      <c r="F838" s="8"/>
      <c r="G838" s="8"/>
      <c r="H838" s="8"/>
    </row>
    <row r="839" spans="6:8" ht="15.75" customHeight="1" x14ac:dyDescent="0.25">
      <c r="F839" s="8"/>
      <c r="G839" s="8"/>
      <c r="H839" s="8"/>
    </row>
    <row r="840" spans="6:8" ht="15.75" customHeight="1" x14ac:dyDescent="0.25">
      <c r="F840" s="8"/>
      <c r="G840" s="8"/>
      <c r="H840" s="8"/>
    </row>
    <row r="841" spans="6:8" ht="15.75" customHeight="1" x14ac:dyDescent="0.25">
      <c r="F841" s="8"/>
      <c r="G841" s="8"/>
      <c r="H841" s="8"/>
    </row>
    <row r="842" spans="6:8" ht="15.75" customHeight="1" x14ac:dyDescent="0.25">
      <c r="F842" s="8"/>
      <c r="G842" s="8"/>
      <c r="H842" s="8"/>
    </row>
    <row r="843" spans="6:8" ht="15.75" customHeight="1" x14ac:dyDescent="0.25">
      <c r="F843" s="8"/>
      <c r="G843" s="8"/>
      <c r="H843" s="8"/>
    </row>
    <row r="844" spans="6:8" ht="15.75" customHeight="1" x14ac:dyDescent="0.25">
      <c r="F844" s="8"/>
      <c r="G844" s="8"/>
      <c r="H844" s="8"/>
    </row>
    <row r="845" spans="6:8" ht="15.75" customHeight="1" x14ac:dyDescent="0.25">
      <c r="F845" s="8"/>
      <c r="G845" s="8"/>
      <c r="H845" s="8"/>
    </row>
    <row r="846" spans="6:8" ht="15.75" customHeight="1" x14ac:dyDescent="0.25">
      <c r="F846" s="8"/>
      <c r="G846" s="8"/>
      <c r="H846" s="8"/>
    </row>
    <row r="847" spans="6:8" ht="15.75" customHeight="1" x14ac:dyDescent="0.25">
      <c r="F847" s="8"/>
      <c r="G847" s="8"/>
      <c r="H847" s="8"/>
    </row>
    <row r="848" spans="6:8" ht="15.75" customHeight="1" x14ac:dyDescent="0.25">
      <c r="F848" s="8"/>
      <c r="G848" s="8"/>
      <c r="H848" s="8"/>
    </row>
    <row r="849" spans="6:8" ht="15.75" customHeight="1" x14ac:dyDescent="0.25">
      <c r="F849" s="8"/>
      <c r="G849" s="8"/>
      <c r="H849" s="8"/>
    </row>
    <row r="850" spans="6:8" ht="15.75" customHeight="1" x14ac:dyDescent="0.25">
      <c r="F850" s="8"/>
      <c r="G850" s="8"/>
      <c r="H850" s="8"/>
    </row>
    <row r="851" spans="6:8" ht="15.75" customHeight="1" x14ac:dyDescent="0.25">
      <c r="F851" s="8"/>
      <c r="G851" s="8"/>
      <c r="H851" s="8"/>
    </row>
    <row r="852" spans="6:8" ht="15.75" customHeight="1" x14ac:dyDescent="0.25">
      <c r="F852" s="8"/>
      <c r="G852" s="8"/>
      <c r="H852" s="8"/>
    </row>
    <row r="853" spans="6:8" ht="15.75" customHeight="1" x14ac:dyDescent="0.25">
      <c r="F853" s="8"/>
      <c r="G853" s="8"/>
      <c r="H853" s="8"/>
    </row>
    <row r="854" spans="6:8" ht="15.75" customHeight="1" x14ac:dyDescent="0.25">
      <c r="F854" s="8"/>
      <c r="G854" s="8"/>
      <c r="H854" s="8"/>
    </row>
    <row r="855" spans="6:8" ht="15.75" customHeight="1" x14ac:dyDescent="0.25">
      <c r="F855" s="8"/>
      <c r="G855" s="8"/>
      <c r="H855" s="8"/>
    </row>
    <row r="856" spans="6:8" ht="15.75" customHeight="1" x14ac:dyDescent="0.25">
      <c r="F856" s="8"/>
      <c r="G856" s="8"/>
      <c r="H856" s="8"/>
    </row>
    <row r="857" spans="6:8" ht="15.75" customHeight="1" x14ac:dyDescent="0.25">
      <c r="F857" s="8"/>
      <c r="G857" s="8"/>
      <c r="H857" s="8"/>
    </row>
    <row r="858" spans="6:8" ht="15.75" customHeight="1" x14ac:dyDescent="0.25">
      <c r="F858" s="8"/>
      <c r="G858" s="8"/>
      <c r="H858" s="8"/>
    </row>
    <row r="859" spans="6:8" ht="15.75" customHeight="1" x14ac:dyDescent="0.25">
      <c r="F859" s="8"/>
      <c r="G859" s="8"/>
      <c r="H859" s="8"/>
    </row>
    <row r="860" spans="6:8" ht="15.75" customHeight="1" x14ac:dyDescent="0.25">
      <c r="F860" s="8"/>
      <c r="G860" s="8"/>
      <c r="H860" s="8"/>
    </row>
    <row r="861" spans="6:8" ht="15.75" customHeight="1" x14ac:dyDescent="0.25">
      <c r="F861" s="8"/>
      <c r="G861" s="8"/>
      <c r="H861" s="8"/>
    </row>
    <row r="862" spans="6:8" ht="15.75" customHeight="1" x14ac:dyDescent="0.25">
      <c r="F862" s="8"/>
      <c r="G862" s="8"/>
      <c r="H862" s="8"/>
    </row>
    <row r="863" spans="6:8" ht="15.75" customHeight="1" x14ac:dyDescent="0.25">
      <c r="F863" s="8"/>
      <c r="G863" s="8"/>
      <c r="H863" s="8"/>
    </row>
    <row r="864" spans="6:8" ht="15.75" customHeight="1" x14ac:dyDescent="0.25">
      <c r="F864" s="8"/>
      <c r="G864" s="8"/>
      <c r="H864" s="8"/>
    </row>
    <row r="865" spans="6:8" ht="15.75" customHeight="1" x14ac:dyDescent="0.25">
      <c r="F865" s="8"/>
      <c r="G865" s="8"/>
      <c r="H865" s="8"/>
    </row>
    <row r="866" spans="6:8" ht="15.75" customHeight="1" x14ac:dyDescent="0.25">
      <c r="F866" s="8"/>
      <c r="G866" s="8"/>
      <c r="H866" s="8"/>
    </row>
    <row r="867" spans="6:8" ht="15.75" customHeight="1" x14ac:dyDescent="0.25">
      <c r="F867" s="8"/>
      <c r="G867" s="8"/>
      <c r="H867" s="8"/>
    </row>
    <row r="868" spans="6:8" ht="15.75" customHeight="1" x14ac:dyDescent="0.25">
      <c r="F868" s="8"/>
      <c r="G868" s="8"/>
      <c r="H868" s="8"/>
    </row>
    <row r="869" spans="6:8" ht="15.75" customHeight="1" x14ac:dyDescent="0.25">
      <c r="F869" s="8"/>
      <c r="G869" s="8"/>
      <c r="H869" s="8"/>
    </row>
    <row r="870" spans="6:8" ht="15.75" customHeight="1" x14ac:dyDescent="0.25">
      <c r="F870" s="8"/>
      <c r="G870" s="8"/>
      <c r="H870" s="8"/>
    </row>
    <row r="871" spans="6:8" ht="15.75" customHeight="1" x14ac:dyDescent="0.25">
      <c r="F871" s="8"/>
      <c r="G871" s="8"/>
      <c r="H871" s="8"/>
    </row>
    <row r="872" spans="6:8" ht="15.75" customHeight="1" x14ac:dyDescent="0.25">
      <c r="F872" s="8"/>
      <c r="G872" s="8"/>
      <c r="H872" s="8"/>
    </row>
    <row r="873" spans="6:8" ht="15.75" customHeight="1" x14ac:dyDescent="0.25">
      <c r="F873" s="8"/>
      <c r="G873" s="8"/>
      <c r="H873" s="8"/>
    </row>
    <row r="874" spans="6:8" ht="15.75" customHeight="1" x14ac:dyDescent="0.25">
      <c r="F874" s="8"/>
      <c r="G874" s="8"/>
      <c r="H874" s="8"/>
    </row>
    <row r="875" spans="6:8" ht="15.75" customHeight="1" x14ac:dyDescent="0.25">
      <c r="F875" s="8"/>
      <c r="G875" s="8"/>
      <c r="H875" s="8"/>
    </row>
    <row r="876" spans="6:8" ht="15.75" customHeight="1" x14ac:dyDescent="0.25">
      <c r="F876" s="8"/>
      <c r="G876" s="8"/>
      <c r="H876" s="8"/>
    </row>
    <row r="877" spans="6:8" ht="15.75" customHeight="1" x14ac:dyDescent="0.25">
      <c r="F877" s="8"/>
      <c r="G877" s="8"/>
      <c r="H877" s="8"/>
    </row>
    <row r="878" spans="6:8" ht="15.75" customHeight="1" x14ac:dyDescent="0.25">
      <c r="F878" s="8"/>
      <c r="G878" s="8"/>
      <c r="H878" s="8"/>
    </row>
    <row r="879" spans="6:8" ht="15.75" customHeight="1" x14ac:dyDescent="0.25">
      <c r="F879" s="8"/>
      <c r="G879" s="8"/>
      <c r="H879" s="8"/>
    </row>
    <row r="880" spans="6:8" ht="15.75" customHeight="1" x14ac:dyDescent="0.25">
      <c r="F880" s="8"/>
      <c r="G880" s="8"/>
      <c r="H880" s="8"/>
    </row>
    <row r="881" spans="6:8" ht="15.75" customHeight="1" x14ac:dyDescent="0.25">
      <c r="F881" s="8"/>
      <c r="G881" s="8"/>
      <c r="H881" s="8"/>
    </row>
    <row r="882" spans="6:8" ht="15.75" customHeight="1" x14ac:dyDescent="0.25">
      <c r="F882" s="8"/>
      <c r="G882" s="8"/>
      <c r="H882" s="8"/>
    </row>
    <row r="883" spans="6:8" ht="15.75" customHeight="1" x14ac:dyDescent="0.25">
      <c r="F883" s="8"/>
      <c r="G883" s="8"/>
      <c r="H883" s="8"/>
    </row>
    <row r="884" spans="6:8" ht="15.75" customHeight="1" x14ac:dyDescent="0.25">
      <c r="F884" s="8"/>
      <c r="G884" s="8"/>
      <c r="H884" s="8"/>
    </row>
    <row r="885" spans="6:8" ht="15.75" customHeight="1" x14ac:dyDescent="0.25">
      <c r="F885" s="8"/>
      <c r="G885" s="8"/>
      <c r="H885" s="8"/>
    </row>
    <row r="886" spans="6:8" ht="15.75" customHeight="1" x14ac:dyDescent="0.25">
      <c r="F886" s="8"/>
      <c r="G886" s="8"/>
      <c r="H886" s="8"/>
    </row>
    <row r="887" spans="6:8" ht="15.75" customHeight="1" x14ac:dyDescent="0.25">
      <c r="F887" s="8"/>
      <c r="G887" s="8"/>
      <c r="H887" s="8"/>
    </row>
    <row r="888" spans="6:8" ht="15.75" customHeight="1" x14ac:dyDescent="0.25">
      <c r="F888" s="8"/>
      <c r="G888" s="8"/>
      <c r="H888" s="8"/>
    </row>
    <row r="889" spans="6:8" ht="15.75" customHeight="1" x14ac:dyDescent="0.25">
      <c r="F889" s="8"/>
      <c r="G889" s="8"/>
      <c r="H889" s="8"/>
    </row>
    <row r="890" spans="6:8" ht="15.75" customHeight="1" x14ac:dyDescent="0.25">
      <c r="F890" s="8"/>
      <c r="G890" s="8"/>
      <c r="H890" s="8"/>
    </row>
    <row r="891" spans="6:8" ht="15.75" customHeight="1" x14ac:dyDescent="0.25">
      <c r="F891" s="8"/>
      <c r="G891" s="8"/>
      <c r="H891" s="8"/>
    </row>
    <row r="892" spans="6:8" ht="15.75" customHeight="1" x14ac:dyDescent="0.25">
      <c r="F892" s="8"/>
      <c r="G892" s="8"/>
      <c r="H892" s="8"/>
    </row>
    <row r="893" spans="6:8" ht="15.75" customHeight="1" x14ac:dyDescent="0.25">
      <c r="F893" s="8"/>
      <c r="G893" s="8"/>
      <c r="H893" s="8"/>
    </row>
    <row r="894" spans="6:8" ht="15.75" customHeight="1" x14ac:dyDescent="0.25">
      <c r="F894" s="8"/>
      <c r="G894" s="8"/>
      <c r="H894" s="8"/>
    </row>
    <row r="895" spans="6:8" ht="15.75" customHeight="1" x14ac:dyDescent="0.25">
      <c r="F895" s="8"/>
      <c r="G895" s="8"/>
      <c r="H895" s="8"/>
    </row>
    <row r="896" spans="6:8" ht="15.75" customHeight="1" x14ac:dyDescent="0.25">
      <c r="F896" s="8"/>
      <c r="G896" s="8"/>
      <c r="H896" s="8"/>
    </row>
    <row r="897" spans="6:8" ht="15.75" customHeight="1" x14ac:dyDescent="0.25">
      <c r="F897" s="8"/>
      <c r="G897" s="8"/>
      <c r="H897" s="8"/>
    </row>
    <row r="898" spans="6:8" ht="15.75" customHeight="1" x14ac:dyDescent="0.25">
      <c r="F898" s="8"/>
      <c r="G898" s="8"/>
      <c r="H898" s="8"/>
    </row>
    <row r="899" spans="6:8" ht="15.75" customHeight="1" x14ac:dyDescent="0.25">
      <c r="F899" s="8"/>
      <c r="G899" s="8"/>
      <c r="H899" s="8"/>
    </row>
    <row r="900" spans="6:8" ht="15.75" customHeight="1" x14ac:dyDescent="0.25">
      <c r="F900" s="8"/>
      <c r="G900" s="8"/>
      <c r="H900" s="8"/>
    </row>
    <row r="901" spans="6:8" ht="15.75" customHeight="1" x14ac:dyDescent="0.25">
      <c r="F901" s="8"/>
      <c r="G901" s="8"/>
      <c r="H901" s="8"/>
    </row>
    <row r="902" spans="6:8" ht="15.75" customHeight="1" x14ac:dyDescent="0.25">
      <c r="F902" s="8"/>
      <c r="G902" s="8"/>
      <c r="H902" s="8"/>
    </row>
    <row r="903" spans="6:8" ht="15.75" customHeight="1" x14ac:dyDescent="0.25">
      <c r="F903" s="8"/>
      <c r="G903" s="8"/>
      <c r="H903" s="8"/>
    </row>
    <row r="904" spans="6:8" ht="15.75" customHeight="1" x14ac:dyDescent="0.25">
      <c r="F904" s="8"/>
      <c r="G904" s="8"/>
      <c r="H904" s="8"/>
    </row>
    <row r="905" spans="6:8" ht="15.75" customHeight="1" x14ac:dyDescent="0.25">
      <c r="F905" s="8"/>
      <c r="G905" s="8"/>
      <c r="H905" s="8"/>
    </row>
    <row r="906" spans="6:8" ht="15.75" customHeight="1" x14ac:dyDescent="0.25">
      <c r="F906" s="8"/>
      <c r="G906" s="8"/>
      <c r="H906" s="8"/>
    </row>
    <row r="907" spans="6:8" ht="15.75" customHeight="1" x14ac:dyDescent="0.25">
      <c r="F907" s="8"/>
      <c r="G907" s="8"/>
      <c r="H907" s="8"/>
    </row>
    <row r="908" spans="6:8" ht="15.75" customHeight="1" x14ac:dyDescent="0.25">
      <c r="F908" s="8"/>
      <c r="G908" s="8"/>
      <c r="H908" s="8"/>
    </row>
    <row r="909" spans="6:8" ht="15.75" customHeight="1" x14ac:dyDescent="0.25">
      <c r="F909" s="8"/>
      <c r="G909" s="8"/>
      <c r="H909" s="8"/>
    </row>
    <row r="910" spans="6:8" ht="15.75" customHeight="1" x14ac:dyDescent="0.25">
      <c r="F910" s="8"/>
      <c r="G910" s="8"/>
      <c r="H910" s="8"/>
    </row>
    <row r="911" spans="6:8" ht="15.75" customHeight="1" x14ac:dyDescent="0.25">
      <c r="F911" s="8"/>
      <c r="G911" s="8"/>
      <c r="H911" s="8"/>
    </row>
    <row r="912" spans="6:8" ht="15.75" customHeight="1" x14ac:dyDescent="0.25">
      <c r="F912" s="8"/>
      <c r="G912" s="8"/>
      <c r="H912" s="8"/>
    </row>
    <row r="913" spans="6:8" ht="15.75" customHeight="1" x14ac:dyDescent="0.25">
      <c r="F913" s="8"/>
      <c r="G913" s="8"/>
      <c r="H913" s="8"/>
    </row>
    <row r="914" spans="6:8" ht="15.75" customHeight="1" x14ac:dyDescent="0.25">
      <c r="F914" s="8"/>
      <c r="G914" s="8"/>
      <c r="H914" s="8"/>
    </row>
    <row r="915" spans="6:8" ht="15.75" customHeight="1" x14ac:dyDescent="0.25">
      <c r="F915" s="8"/>
      <c r="G915" s="8"/>
      <c r="H915" s="8"/>
    </row>
    <row r="916" spans="6:8" ht="15.75" customHeight="1" x14ac:dyDescent="0.25">
      <c r="F916" s="8"/>
      <c r="G916" s="8"/>
      <c r="H916" s="8"/>
    </row>
    <row r="917" spans="6:8" ht="15.75" customHeight="1" x14ac:dyDescent="0.25">
      <c r="F917" s="8"/>
      <c r="G917" s="8"/>
      <c r="H917" s="8"/>
    </row>
    <row r="918" spans="6:8" ht="15.75" customHeight="1" x14ac:dyDescent="0.25">
      <c r="F918" s="8"/>
      <c r="G918" s="8"/>
      <c r="H918" s="8"/>
    </row>
    <row r="919" spans="6:8" ht="15.75" customHeight="1" x14ac:dyDescent="0.25">
      <c r="F919" s="8"/>
      <c r="G919" s="8"/>
      <c r="H919" s="8"/>
    </row>
    <row r="920" spans="6:8" ht="15.75" customHeight="1" x14ac:dyDescent="0.25">
      <c r="F920" s="8"/>
      <c r="G920" s="8"/>
      <c r="H920" s="8"/>
    </row>
    <row r="921" spans="6:8" ht="15.75" customHeight="1" x14ac:dyDescent="0.25">
      <c r="F921" s="8"/>
      <c r="G921" s="8"/>
      <c r="H921" s="8"/>
    </row>
    <row r="922" spans="6:8" ht="15.75" customHeight="1" x14ac:dyDescent="0.25">
      <c r="F922" s="8"/>
      <c r="G922" s="8"/>
      <c r="H922" s="8"/>
    </row>
    <row r="923" spans="6:8" ht="15.75" customHeight="1" x14ac:dyDescent="0.25">
      <c r="F923" s="8"/>
      <c r="G923" s="8"/>
      <c r="H923" s="8"/>
    </row>
    <row r="924" spans="6:8" ht="15.75" customHeight="1" x14ac:dyDescent="0.25">
      <c r="F924" s="8"/>
      <c r="G924" s="8"/>
      <c r="H924" s="8"/>
    </row>
    <row r="925" spans="6:8" ht="15.75" customHeight="1" x14ac:dyDescent="0.25">
      <c r="F925" s="8"/>
      <c r="G925" s="8"/>
      <c r="H925" s="8"/>
    </row>
    <row r="926" spans="6:8" ht="15.75" customHeight="1" x14ac:dyDescent="0.25">
      <c r="F926" s="8"/>
      <c r="G926" s="8"/>
      <c r="H926" s="8"/>
    </row>
    <row r="927" spans="6:8" ht="15.75" customHeight="1" x14ac:dyDescent="0.25">
      <c r="F927" s="8"/>
      <c r="G927" s="8"/>
      <c r="H927" s="8"/>
    </row>
    <row r="928" spans="6:8" ht="15.75" customHeight="1" x14ac:dyDescent="0.25">
      <c r="F928" s="8"/>
      <c r="G928" s="8"/>
      <c r="H928" s="8"/>
    </row>
    <row r="929" spans="6:8" ht="15.75" customHeight="1" x14ac:dyDescent="0.25">
      <c r="F929" s="8"/>
      <c r="G929" s="8"/>
      <c r="H929" s="8"/>
    </row>
    <row r="930" spans="6:8" ht="15.75" customHeight="1" x14ac:dyDescent="0.25">
      <c r="F930" s="8"/>
      <c r="G930" s="8"/>
      <c r="H930" s="8"/>
    </row>
    <row r="931" spans="6:8" ht="15.75" customHeight="1" x14ac:dyDescent="0.25">
      <c r="F931" s="8"/>
      <c r="G931" s="8"/>
      <c r="H931" s="8"/>
    </row>
    <row r="932" spans="6:8" ht="15.75" customHeight="1" x14ac:dyDescent="0.25">
      <c r="F932" s="8"/>
      <c r="G932" s="8"/>
      <c r="H932" s="8"/>
    </row>
    <row r="933" spans="6:8" ht="15.75" customHeight="1" x14ac:dyDescent="0.25">
      <c r="F933" s="8"/>
      <c r="G933" s="8"/>
      <c r="H933" s="8"/>
    </row>
    <row r="934" spans="6:8" ht="15.75" customHeight="1" x14ac:dyDescent="0.25">
      <c r="F934" s="8"/>
      <c r="G934" s="8"/>
      <c r="H934" s="8"/>
    </row>
    <row r="935" spans="6:8" ht="15.75" customHeight="1" x14ac:dyDescent="0.25">
      <c r="F935" s="8"/>
      <c r="G935" s="8"/>
      <c r="H935" s="8"/>
    </row>
    <row r="936" spans="6:8" ht="15.75" customHeight="1" x14ac:dyDescent="0.25">
      <c r="F936" s="8"/>
      <c r="G936" s="8"/>
      <c r="H936" s="8"/>
    </row>
    <row r="937" spans="6:8" ht="15.75" customHeight="1" x14ac:dyDescent="0.25">
      <c r="F937" s="8"/>
      <c r="G937" s="8"/>
      <c r="H937" s="8"/>
    </row>
    <row r="938" spans="6:8" ht="15.75" customHeight="1" x14ac:dyDescent="0.25">
      <c r="F938" s="8"/>
      <c r="G938" s="8"/>
      <c r="H938" s="8"/>
    </row>
    <row r="939" spans="6:8" ht="15.75" customHeight="1" x14ac:dyDescent="0.25">
      <c r="F939" s="8"/>
      <c r="G939" s="8"/>
      <c r="H939" s="8"/>
    </row>
    <row r="940" spans="6:8" ht="15.75" customHeight="1" x14ac:dyDescent="0.25">
      <c r="F940" s="8"/>
      <c r="G940" s="8"/>
      <c r="H940" s="8"/>
    </row>
    <row r="941" spans="6:8" ht="15.75" customHeight="1" x14ac:dyDescent="0.25">
      <c r="F941" s="8"/>
      <c r="G941" s="8"/>
      <c r="H941" s="8"/>
    </row>
    <row r="942" spans="6:8" ht="15.75" customHeight="1" x14ac:dyDescent="0.25">
      <c r="F942" s="8"/>
      <c r="G942" s="8"/>
      <c r="H942" s="8"/>
    </row>
    <row r="943" spans="6:8" ht="15.75" customHeight="1" x14ac:dyDescent="0.25">
      <c r="F943" s="8"/>
      <c r="G943" s="8"/>
      <c r="H943" s="8"/>
    </row>
    <row r="944" spans="6:8" ht="15.75" customHeight="1" x14ac:dyDescent="0.25">
      <c r="F944" s="8"/>
      <c r="G944" s="8"/>
      <c r="H944" s="8"/>
    </row>
    <row r="945" spans="6:8" ht="15.75" customHeight="1" x14ac:dyDescent="0.25">
      <c r="F945" s="8"/>
      <c r="G945" s="8"/>
      <c r="H945" s="8"/>
    </row>
    <row r="946" spans="6:8" ht="15.75" customHeight="1" x14ac:dyDescent="0.25">
      <c r="F946" s="8"/>
      <c r="G946" s="8"/>
      <c r="H946" s="8"/>
    </row>
    <row r="947" spans="6:8" ht="15.75" customHeight="1" x14ac:dyDescent="0.25">
      <c r="F947" s="8"/>
      <c r="G947" s="8"/>
      <c r="H947" s="8"/>
    </row>
    <row r="948" spans="6:8" ht="15.75" customHeight="1" x14ac:dyDescent="0.25">
      <c r="F948" s="8"/>
      <c r="G948" s="8"/>
      <c r="H948" s="8"/>
    </row>
    <row r="949" spans="6:8" ht="15.75" customHeight="1" x14ac:dyDescent="0.25">
      <c r="F949" s="8"/>
      <c r="G949" s="8"/>
      <c r="H949" s="8"/>
    </row>
    <row r="950" spans="6:8" ht="15.75" customHeight="1" x14ac:dyDescent="0.25">
      <c r="F950" s="8"/>
      <c r="G950" s="8"/>
      <c r="H950" s="8"/>
    </row>
    <row r="951" spans="6:8" ht="15.75" customHeight="1" x14ac:dyDescent="0.25">
      <c r="F951" s="8"/>
      <c r="G951" s="8"/>
      <c r="H951" s="8"/>
    </row>
    <row r="952" spans="6:8" ht="15.75" customHeight="1" x14ac:dyDescent="0.25">
      <c r="F952" s="8"/>
      <c r="G952" s="8"/>
      <c r="H952" s="8"/>
    </row>
    <row r="953" spans="6:8" ht="15.75" customHeight="1" x14ac:dyDescent="0.25">
      <c r="F953" s="8"/>
      <c r="G953" s="8"/>
      <c r="H953" s="8"/>
    </row>
    <row r="954" spans="6:8" ht="15.75" customHeight="1" x14ac:dyDescent="0.25">
      <c r="F954" s="8"/>
      <c r="G954" s="8"/>
      <c r="H954" s="8"/>
    </row>
    <row r="955" spans="6:8" ht="15.75" customHeight="1" x14ac:dyDescent="0.25">
      <c r="F955" s="8"/>
      <c r="G955" s="8"/>
      <c r="H955" s="8"/>
    </row>
    <row r="956" spans="6:8" ht="15.75" customHeight="1" x14ac:dyDescent="0.25">
      <c r="F956" s="8"/>
      <c r="G956" s="8"/>
      <c r="H956" s="8"/>
    </row>
    <row r="957" spans="6:8" ht="15.75" customHeight="1" x14ac:dyDescent="0.25">
      <c r="F957" s="8"/>
      <c r="G957" s="8"/>
      <c r="H957" s="8"/>
    </row>
    <row r="958" spans="6:8" ht="15.75" customHeight="1" x14ac:dyDescent="0.25">
      <c r="F958" s="8"/>
      <c r="G958" s="8"/>
      <c r="H958" s="8"/>
    </row>
    <row r="959" spans="6:8" ht="15.75" customHeight="1" x14ac:dyDescent="0.25">
      <c r="F959" s="8"/>
      <c r="G959" s="8"/>
      <c r="H959" s="8"/>
    </row>
    <row r="960" spans="6:8" ht="15.75" customHeight="1" x14ac:dyDescent="0.25">
      <c r="F960" s="8"/>
      <c r="G960" s="8"/>
      <c r="H960" s="8"/>
    </row>
    <row r="961" spans="6:8" ht="15.75" customHeight="1" x14ac:dyDescent="0.25">
      <c r="F961" s="8"/>
      <c r="G961" s="8"/>
      <c r="H961" s="8"/>
    </row>
    <row r="962" spans="6:8" ht="15.75" customHeight="1" x14ac:dyDescent="0.25">
      <c r="F962" s="8"/>
      <c r="G962" s="8"/>
      <c r="H962" s="8"/>
    </row>
    <row r="963" spans="6:8" ht="15.75" customHeight="1" x14ac:dyDescent="0.25">
      <c r="F963" s="8"/>
      <c r="G963" s="8"/>
      <c r="H963" s="8"/>
    </row>
    <row r="964" spans="6:8" ht="15.75" customHeight="1" x14ac:dyDescent="0.25">
      <c r="F964" s="8"/>
      <c r="G964" s="8"/>
      <c r="H964" s="8"/>
    </row>
    <row r="965" spans="6:8" ht="15.75" customHeight="1" x14ac:dyDescent="0.25">
      <c r="F965" s="8"/>
      <c r="G965" s="8"/>
      <c r="H965" s="8"/>
    </row>
    <row r="966" spans="6:8" ht="15.75" customHeight="1" x14ac:dyDescent="0.25">
      <c r="F966" s="8"/>
      <c r="G966" s="8"/>
      <c r="H966" s="8"/>
    </row>
    <row r="967" spans="6:8" ht="15.75" customHeight="1" x14ac:dyDescent="0.25">
      <c r="F967" s="8"/>
      <c r="G967" s="8"/>
      <c r="H967" s="8"/>
    </row>
    <row r="968" spans="6:8" ht="15.75" customHeight="1" x14ac:dyDescent="0.25">
      <c r="F968" s="8"/>
      <c r="G968" s="8"/>
      <c r="H968" s="8"/>
    </row>
    <row r="969" spans="6:8" ht="15.75" customHeight="1" x14ac:dyDescent="0.25">
      <c r="F969" s="8"/>
      <c r="G969" s="8"/>
      <c r="H969" s="8"/>
    </row>
    <row r="970" spans="6:8" ht="15.75" customHeight="1" x14ac:dyDescent="0.25">
      <c r="F970" s="8"/>
      <c r="G970" s="8"/>
      <c r="H970" s="8"/>
    </row>
    <row r="971" spans="6:8" ht="15.75" customHeight="1" x14ac:dyDescent="0.25">
      <c r="F971" s="8"/>
      <c r="G971" s="8"/>
      <c r="H971" s="8"/>
    </row>
    <row r="972" spans="6:8" ht="15.75" customHeight="1" x14ac:dyDescent="0.25">
      <c r="F972" s="8"/>
      <c r="G972" s="8"/>
      <c r="H972" s="8"/>
    </row>
    <row r="973" spans="6:8" ht="15.75" customHeight="1" x14ac:dyDescent="0.25">
      <c r="F973" s="8"/>
      <c r="G973" s="8"/>
      <c r="H973" s="8"/>
    </row>
    <row r="974" spans="6:8" ht="15.75" customHeight="1" x14ac:dyDescent="0.25">
      <c r="F974" s="8"/>
      <c r="G974" s="8"/>
      <c r="H974" s="8"/>
    </row>
    <row r="975" spans="6:8" ht="15.75" customHeight="1" x14ac:dyDescent="0.25">
      <c r="F975" s="8"/>
      <c r="G975" s="8"/>
      <c r="H975" s="8"/>
    </row>
    <row r="976" spans="6:8" ht="15.75" customHeight="1" x14ac:dyDescent="0.25">
      <c r="F976" s="8"/>
      <c r="G976" s="8"/>
      <c r="H976" s="8"/>
    </row>
    <row r="977" spans="6:8" ht="15.75" customHeight="1" x14ac:dyDescent="0.25">
      <c r="F977" s="8"/>
      <c r="G977" s="8"/>
      <c r="H977" s="8"/>
    </row>
    <row r="978" spans="6:8" ht="15.75" customHeight="1" x14ac:dyDescent="0.25">
      <c r="F978" s="8"/>
      <c r="G978" s="8"/>
      <c r="H978" s="8"/>
    </row>
    <row r="979" spans="6:8" ht="15.75" customHeight="1" x14ac:dyDescent="0.25">
      <c r="F979" s="8"/>
      <c r="G979" s="8"/>
      <c r="H979" s="8"/>
    </row>
    <row r="980" spans="6:8" ht="15.75" customHeight="1" x14ac:dyDescent="0.25">
      <c r="F980" s="8"/>
      <c r="G980" s="8"/>
      <c r="H980" s="8"/>
    </row>
    <row r="981" spans="6:8" ht="15.75" customHeight="1" x14ac:dyDescent="0.25">
      <c r="F981" s="8"/>
      <c r="G981" s="8"/>
      <c r="H981" s="8"/>
    </row>
    <row r="982" spans="6:8" ht="15.75" customHeight="1" x14ac:dyDescent="0.25">
      <c r="F982" s="8"/>
      <c r="G982" s="8"/>
      <c r="H982" s="8"/>
    </row>
    <row r="983" spans="6:8" ht="15.75" customHeight="1" x14ac:dyDescent="0.25">
      <c r="F983" s="8"/>
      <c r="G983" s="8"/>
      <c r="H983" s="8"/>
    </row>
    <row r="984" spans="6:8" ht="15.75" customHeight="1" x14ac:dyDescent="0.25">
      <c r="F984" s="8"/>
      <c r="G984" s="8"/>
      <c r="H984" s="8"/>
    </row>
    <row r="985" spans="6:8" ht="15.75" customHeight="1" x14ac:dyDescent="0.25">
      <c r="F985" s="8"/>
      <c r="G985" s="8"/>
      <c r="H985" s="8"/>
    </row>
    <row r="986" spans="6:8" ht="15.75" customHeight="1" x14ac:dyDescent="0.25">
      <c r="F986" s="8"/>
      <c r="G986" s="8"/>
      <c r="H986" s="8"/>
    </row>
    <row r="987" spans="6:8" ht="15.75" customHeight="1" x14ac:dyDescent="0.25">
      <c r="F987" s="8"/>
      <c r="G987" s="8"/>
      <c r="H987" s="8"/>
    </row>
    <row r="988" spans="6:8" ht="15.75" customHeight="1" x14ac:dyDescent="0.25">
      <c r="F988" s="8"/>
      <c r="G988" s="8"/>
      <c r="H988" s="8"/>
    </row>
    <row r="989" spans="6:8" ht="15.75" customHeight="1" x14ac:dyDescent="0.25">
      <c r="F989" s="8"/>
      <c r="G989" s="8"/>
      <c r="H989" s="8"/>
    </row>
    <row r="990" spans="6:8" ht="15.75" customHeight="1" x14ac:dyDescent="0.25">
      <c r="F990" s="8"/>
      <c r="G990" s="8"/>
      <c r="H990" s="8"/>
    </row>
    <row r="991" spans="6:8" ht="15.75" customHeight="1" x14ac:dyDescent="0.25">
      <c r="F991" s="8"/>
      <c r="G991" s="8"/>
      <c r="H991" s="8"/>
    </row>
    <row r="992" spans="6:8" ht="15.75" customHeight="1" x14ac:dyDescent="0.25">
      <c r="F992" s="8"/>
      <c r="G992" s="8"/>
      <c r="H992" s="8"/>
    </row>
    <row r="993" spans="6:8" ht="15.75" customHeight="1" x14ac:dyDescent="0.25">
      <c r="F993" s="8"/>
      <c r="G993" s="8"/>
      <c r="H993" s="8"/>
    </row>
    <row r="994" spans="6:8" ht="15.75" customHeight="1" x14ac:dyDescent="0.25">
      <c r="F994" s="8"/>
      <c r="G994" s="8"/>
      <c r="H994" s="8"/>
    </row>
    <row r="995" spans="6:8" ht="15.75" customHeight="1" x14ac:dyDescent="0.25">
      <c r="F995" s="8"/>
      <c r="G995" s="8"/>
      <c r="H995" s="8"/>
    </row>
    <row r="996" spans="6:8" ht="15.75" customHeight="1" x14ac:dyDescent="0.25">
      <c r="F996" s="8"/>
      <c r="G996" s="8"/>
      <c r="H996" s="8"/>
    </row>
    <row r="997" spans="6:8" ht="15.75" customHeight="1" x14ac:dyDescent="0.25">
      <c r="F997" s="8"/>
      <c r="G997" s="8"/>
      <c r="H997" s="8"/>
    </row>
    <row r="998" spans="6:8" ht="15.75" customHeight="1" x14ac:dyDescent="0.25">
      <c r="F998" s="8"/>
      <c r="G998" s="8"/>
      <c r="H998" s="8"/>
    </row>
    <row r="999" spans="6:8" ht="15.75" customHeight="1" x14ac:dyDescent="0.25">
      <c r="F999" s="8"/>
      <c r="G999" s="8"/>
      <c r="H999" s="8"/>
    </row>
    <row r="1000" spans="6:8" ht="15.75" customHeight="1" x14ac:dyDescent="0.25">
      <c r="F1000" s="8"/>
      <c r="G1000" s="8"/>
      <c r="H1000" s="8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Parent Catagory Outcomes</vt:lpstr>
      <vt:lpstr>SubCatagory Outcomes</vt:lpstr>
      <vt:lpstr>Creation Date Outcomes</vt:lpstr>
      <vt:lpstr>Bonus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Kyle Hunstein</cp:lastModifiedBy>
  <cp:lastPrinted>2022-11-13T00:32:49Z</cp:lastPrinted>
  <dcterms:created xsi:type="dcterms:W3CDTF">2022-11-13T00:06:34Z</dcterms:created>
  <dcterms:modified xsi:type="dcterms:W3CDTF">2022-11-13T00:32:50Z</dcterms:modified>
</cp:coreProperties>
</file>